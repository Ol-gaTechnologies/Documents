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ory Alignment" sheetId="2" state="visible" r:id="rId4"/>
    <sheet name="Glossary" sheetId="3" state="visible" r:id="rId5"/>
    <sheet name="Feature Register" sheetId="4" state="visible" r:id="rId6"/>
    <sheet name="Phase 2 Register" sheetId="5" state="visible" r:id="rId7"/>
    <sheet name="User Journey" sheetId="6" state="visible" r:id="rId8"/>
    <sheet name="Screens &amp; States" sheetId="7" state="visible" r:id="rId9"/>
    <sheet name="Notifications" sheetId="8" state="visible" r:id="rId10"/>
    <sheet name="Analytics Events" sheetId="9" state="visible" r:id="rId11"/>
    <sheet name="Event Ops Runbook" sheetId="10" state="visible" r:id="rId12"/>
    <sheet name="Not Building" sheetId="11" state="visible" r:id="rId13"/>
    <sheet name="Milestone Checklist" sheetId="12" state="visible" r:id="rId14"/>
  </sheets>
  <definedNames>
    <definedName function="false" hidden="true" localSheetId="8" name="_xlnm._FilterDatabase" vbProcedure="false">'Analytics Events'!$A$1:$G$42</definedName>
    <definedName function="false" hidden="true" localSheetId="9" name="_xlnm._FilterDatabase" vbProcedure="false">'Event Ops Runbook'!$A$1:$G$21</definedName>
    <definedName function="false" hidden="true" localSheetId="3" name="_xlnm._FilterDatabase" vbProcedure="false">'Feature Register'!$A$1:$P$80</definedName>
    <definedName function="false" hidden="true" localSheetId="2" name="_xlnm._FilterDatabase" vbProcedure="false">Glossary!$A$1:$F$49</definedName>
    <definedName function="false" hidden="true" localSheetId="11" name="_xlnm._FilterDatabase" vbProcedure="false">'Milestone Checklist'!$A$1:$G$33</definedName>
    <definedName function="false" hidden="true" localSheetId="10" name="_xlnm._FilterDatabase" vbProcedure="false">'Not Building'!$A$1:$D$15</definedName>
    <definedName function="false" hidden="true" localSheetId="7" name="_xlnm._FilterDatabase" vbProcedure="false">Notifications!$A$1:$J$9</definedName>
    <definedName function="false" hidden="true" localSheetId="4" name="_xlnm._FilterDatabase" vbProcedure="false">'Phase 2 Register'!$A$1:$I$19</definedName>
    <definedName function="false" hidden="true" localSheetId="6" name="_xlnm._FilterDatabase" vbProcedure="false">'Screens &amp; States'!$A$1:$I$48</definedName>
    <definedName function="false" hidden="true" localSheetId="1" name="_xlnm._FilterDatabase" vbProcedure="false">'Story Alignment'!$A$1:$G$22</definedName>
    <definedName function="false" hidden="true" localSheetId="5" name="_xlnm._FilterDatabase" vbProcedure="false">'User Journey'!$A$1:$O$35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<sst xmlns="http://schemas.openxmlformats.org/spreadsheetml/2006/main" count="3681" uniqueCount="2244">
  <si>
    <t xml:space="preserve">OL-GA</t>
  </si>
  <si>
    <t xml:space="preserve">Features, functionality and user-flow specification</t>
  </si>
  <si>
    <t xml:space="preserve">Version 2 - reconciled against 'Story first, then the spec for your architect' (A week in Ol-ga)  ·  4 September 2026</t>
  </si>
  <si>
    <t xml:space="preserve">PURPOSE</t>
  </si>
  <si>
    <t xml:space="preserve">This workbook is the buildable specification for the Ol-ga MVP. It is written for the build team (1 senior + 2 junior React Native developers) and is intended to be worked from directly: every feature has an ID, an owner, an acceptance criterion, the screen states it needs and the analytics events it fires.</t>
  </si>
  <si>
    <t xml:space="preserve">It is derived from four documents and does not supersede them: the STORY BRIEF ('A week in Ol-ga'), the OL-GA MVP Build Plan (Sept 2026), the OL-GA Social Capital Liquidity Memo (July 2026), and the Ol-ga Six-Month Roadmap (Sept 2026).</t>
  </si>
  <si>
    <t xml:space="preserve">WHERE THE STORY AND THE BUILD PLAN DISAGREE, THE STORY WINS. Version 1 of this workbook was built from the build plan and had drifted from the story in eleven places. Every one is documented on the 'Story Alignment' tab, with the decision taken. Four of them were product decisions made by the founder on 4 Sept, not corrections.</t>
  </si>
  <si>
    <t xml:space="preserve">THE SCOPE BOUNDARY - read this before using the workbook</t>
  </si>
  <si>
    <t xml:space="preserve">The 'Feature Register' tab is the 12-week MVP. The 'Phase 2 Register' tab is NOT. It is specified at the same depth because you asked for it, but every Phase 2 item carries an explicit entry condition - a piece of evidence that must exist before work starts. Pulling any Phase 2 item forward without meeting its entry condition is how a 12-week build becomes an 18-week one.</t>
  </si>
  <si>
    <t xml:space="preserve">The scope-change protocol from the build plan applies to this workbook: any addition requires an equal-sized removal, in writing, signed by both sides. That applies to founder requests too - most late scope in fixed-date builds comes from the founder, not the contractor.</t>
  </si>
  <si>
    <t xml:space="preserve">HOW TO USE EACH TAB</t>
  </si>
  <si>
    <t xml:space="preserve">Story Alignment</t>
  </si>
  <si>
    <t xml:space="preserve">The cross-check of this workbook against the story brief 'A week in Ol-ga'. Every place v1 drifted, what changed, and who decided. Read this first if you knew version 1.</t>
  </si>
  <si>
    <t xml:space="preserve">Glossary</t>
  </si>
  <si>
    <t xml:space="preserve">The canonical vocabulary. Agree these words once, then use only these words - in the code, in the UI, in the analytics taxonomy and in investor materials. The 'What it is NOT' column is the useful half.</t>
  </si>
  <si>
    <t xml:space="preserve">Feature Register</t>
  </si>
  <si>
    <t xml:space="preserve">The 12-week MVP scope. Filter by Milestone to see what a payment gate contains, by Owner to see a lane, or by Priority to see the cut list.</t>
  </si>
  <si>
    <t xml:space="preserve">Phase 2 Register</t>
  </si>
  <si>
    <t xml:space="preserve">Post-MVP. Each row names the evidence required before starting. Do not start any of these inside the 12 weeks.</t>
  </si>
  <si>
    <t xml:space="preserve">User Journey</t>
  </si>
  <si>
    <t xml:space="preserve">The 34 numbered steps a real attendee goes through, end to end, including the steps where Ol-ga deliberately does nothing. Use it to check that no step has an undefined failure path.</t>
  </si>
  <si>
    <t xml:space="preserve">Screens &amp; States</t>
  </si>
  <si>
    <t xml:space="preserve">Every screen with every state - default, empty, loading, error, offline, permission-denied. Definition of done for a screen includes ALL of its rows here, not just the default.</t>
  </si>
  <si>
    <t xml:space="preserve">Notifications</t>
  </si>
  <si>
    <t xml:space="preserve">Every notification with trigger, timing, copy and opt-out behaviour. The guardrail column says what each one can break.</t>
  </si>
  <si>
    <t xml:space="preserve">Analytics Events</t>
  </si>
  <si>
    <t xml:space="preserve">The event taxonomy. This is FROZEN at M0 and wired before the first feature screen. Do not add, rename or redefine an event after sign-off.</t>
  </si>
  <si>
    <t xml:space="preserve">Event Ops Runbook</t>
  </si>
  <si>
    <t xml:space="preserve">The 20 steps your team runs around an event, most of which are not engineering. Step 1 is the highest-ranked initiative in the whole roadmap.</t>
  </si>
  <si>
    <t xml:space="preserve">Not Building</t>
  </si>
  <si>
    <t xml:space="preserve">Tempting features that are deliberately out of scope, each with the specific evidence that would justify reconsidering it.</t>
  </si>
  <si>
    <t xml:space="preserve">Milestone Checklist</t>
  </si>
  <si>
    <t xml:space="preserve">The binary acceptance criteria for M0-M5 and the payment attached to each. A criterion is either met or it is not - there is no partial credit.</t>
  </si>
  <si>
    <t xml:space="preserve">LEGEND</t>
  </si>
  <si>
    <t xml:space="preserve">Priority P0</t>
  </si>
  <si>
    <t xml:space="preserve">Must ship for the Brand Laureate event. Not cuttable.</t>
  </si>
  <si>
    <t xml:space="preserve">Priority P1</t>
  </si>
  <si>
    <t xml:space="preserve">Ships if the build is on track. First to be cut at the Week 8 review.</t>
  </si>
  <si>
    <t xml:space="preserve">Priority P2</t>
  </si>
  <si>
    <t xml:space="preserve">Convenience. Cut without discussion if behind.</t>
  </si>
  <si>
    <t xml:space="preserve">Effort XS / S / M / L</t>
  </si>
  <si>
    <t xml:space="preserve">Under 1 dev-day / 1-3 dev-days / 4-8 dev-days / 9+ dev-days.</t>
  </si>
  <si>
    <t xml:space="preserve">Owner SD / JA / JB / F</t>
  </si>
  <si>
    <t xml:space="preserve">Senior developer / Junior A / Junior B / Founder. SD is planned at 55% coding capacity - the rest is contracts, review and unblocking.</t>
  </si>
  <si>
    <t xml:space="preserve">Type</t>
  </si>
  <si>
    <t xml:space="preserve">Table stakes = expected of any app · Differentiating = why Ol-ga exists · Operational = the plumbing that makes the experiment measurable.</t>
  </si>
  <si>
    <t xml:space="preserve">Milestone M0-M5</t>
  </si>
  <si>
    <t xml:space="preserve">Payment gates from the build plan. See the Milestone Checklist tab.</t>
  </si>
  <si>
    <t xml:space="preserve">WHY ALMOST EVERYTHING IS P0</t>
  </si>
  <si>
    <t xml:space="preserve">Almost every feature is P0 (see the live counts below), which normally signals a failure to prioritise. Here it is a consequence of the scope having already been cut to the bone in the roadmap: what remains is the seven-step loop plus the plumbing that makes it measurable and launchable, and removing any of it either breaks the loop or breaks the measurement. The prioritisation work happened on the 'Not Building' tab, not in this column.</t>
  </si>
  <si>
    <t xml:space="preserve">THE CUT LIST, in order, if the build is behind at the Week 8 review: (1) F-020 match set refresh, (2) F-004 LinkedIn prefill, (3) F-062 notification preferences, (4) admin-panel polish (F-073 reduced to a database console), (5) Android visual polish, (6) F-049 cross-event ledger continuity, (7) decay-indicator visual sophistication (keep the indicator, simplify the treatment). NEVER cut: F-045 Ledger, F-047 decay indicator, F-052/F-054 the outcome loop, F-079 the off-event flag. Those four are what the next raise rests on.</t>
  </si>
  <si>
    <t xml:space="preserve">SCOPE AT A GLANCE (live counts - these recalculate)</t>
  </si>
  <si>
    <t xml:space="preserve">MVP features specified</t>
  </si>
  <si>
    <t xml:space="preserve">  of which P0 (must ship)</t>
  </si>
  <si>
    <t xml:space="preserve">  of which P1</t>
  </si>
  <si>
    <t xml:space="preserve">  of which P2</t>
  </si>
  <si>
    <t xml:space="preserve">Due at M0 (end W1, 13 Sep)</t>
  </si>
  <si>
    <t xml:space="preserve">Due at M1 (end W3, 27 Sep)</t>
  </si>
  <si>
    <t xml:space="preserve">Due at M2 (gate, 15 Oct)</t>
  </si>
  <si>
    <t xml:space="preserve">Due at M3 (end W9, 8 Nov)</t>
  </si>
  <si>
    <t xml:space="preserve">Due at M4 (end W11, 22 Nov)</t>
  </si>
  <si>
    <t xml:space="preserve">Due at M5 (event + 4 weeks)</t>
  </si>
  <si>
    <t xml:space="preserve">Owned by senior developer</t>
  </si>
  <si>
    <t xml:space="preserve">Owned by Junior A</t>
  </si>
  <si>
    <t xml:space="preserve">Owned by Junior B</t>
  </si>
  <si>
    <t xml:space="preserve">Owned by founder</t>
  </si>
  <si>
    <t xml:space="preserve">Differentiating features</t>
  </si>
  <si>
    <t xml:space="preserve">Large (L) efforts in MVP</t>
  </si>
  <si>
    <t xml:space="preserve">Phase 2 items (NOT in the 12 weeks)</t>
  </si>
  <si>
    <t xml:space="preserve">Glossary terms defined</t>
  </si>
  <si>
    <t xml:space="preserve">User journey steps</t>
  </si>
  <si>
    <t xml:space="preserve">Screen states specified</t>
  </si>
  <si>
    <t xml:space="preserve">Analytics events frozen at M0</t>
  </si>
  <si>
    <t xml:space="preserve">Milestone acceptance criteria</t>
  </si>
  <si>
    <t xml:space="preserve">ASSUMPTIONS BAKED INTO THIS WORKBOOK</t>
  </si>
  <si>
    <t xml:space="preserve">Assumption</t>
  </si>
  <si>
    <t xml:space="preserve">Presence is a server-side venue session (QR or one coarse geofence check) - NOT continuous BLE proximity. This is Locked in the build plan and must be confirmed in writing against the August architecture blueprint before kickoff. Every screen, state and data structure here assumes it.</t>
  </si>
  <si>
    <t xml:space="preserve">The Brand Laureate event date is NOT yet confirmed. Milestone dates M0-M4 are anchored to a build start of Mon 7 Sep 2026; M5 is anchored to an ASSUMED event week of 23-29 Nov 2026 and shifts one-for-one with the real date.</t>
  </si>
  <si>
    <t xml:space="preserve">Expected attendance assumed at 600-800, which sets the 1,000-concurrent load target. Confirm with the Organiser.</t>
  </si>
  <si>
    <t xml:space="preserve">No dedicated designer, QA or DevOps. Design sits with Junior A, QA with the whole team plus the 30-person dry run, release engineering with the senior developer.</t>
  </si>
  <si>
    <t xml:space="preserve">All revenue in this horizon is B2B, invoiced offline against a contract. There is no in-app billing surface anywhere in this workbook.</t>
  </si>
  <si>
    <t xml:space="preserve">Malaysia only. English only. PDPA only. India (DPDP) appears solely as P2-16, a design-compatibility review, not a launch.</t>
  </si>
  <si>
    <t xml:space="preserve">Story beat</t>
  </si>
  <si>
    <t xml:space="preserve">What the story says</t>
  </si>
  <si>
    <t xml:space="preserve">Status</t>
  </si>
  <si>
    <t xml:space="preserve">What version 1 had</t>
  </si>
  <si>
    <t xml:space="preserve">What version 2 does</t>
  </si>
  <si>
    <t xml:space="preserve">Feature IDs</t>
  </si>
  <si>
    <t xml:space="preserve">Decision owner / date</t>
  </si>
  <si>
    <t xml:space="preserve">Ticket confirmation asks one question</t>
  </si>
  <si>
    <t xml:space="preserve">'At the bottom, one question: what are you hoping to get out of the evening?'</t>
  </si>
  <si>
    <t xml:space="preserve">Already covered</t>
  </si>
  <si>
    <t xml:space="preserve">Deep link from the ticket confirmation landing on intent capture</t>
  </si>
  <si>
    <t xml:space="preserve">Unchanged</t>
  </si>
  <si>
    <t xml:space="preserve">F-002</t>
  </si>
  <si>
    <t xml:space="preserve">-</t>
  </si>
  <si>
    <t xml:space="preserve">Onboarding is 40 seconds</t>
  </si>
  <si>
    <t xml:space="preserve">'You tap through, verify your number, type your role, and write one line. Forty seconds.'</t>
  </si>
  <si>
    <t xml:space="preserve">CHANGED</t>
  </si>
  <si>
    <t xml:space="preserve">Name, photo, role, company - a ~90 second target</t>
  </si>
  <si>
    <t xml:space="preserve">Name and role only. Photo deferred to after the first Reveal. Company removed.</t>
  </si>
  <si>
    <t xml:space="preserve">F-003, F-008</t>
  </si>
  <si>
    <t xml:space="preserve">Founder, 4 Sep</t>
  </si>
  <si>
    <t xml:space="preserve">One line, not a form</t>
  </si>
  <si>
    <t xml:space="preserve">'write one line - looking for a distribution partner for our fintech product in Indonesia'</t>
  </si>
  <si>
    <t xml:space="preserve">One free-text line PLUS two structured selects, per the MVP Build Plan</t>
  </si>
  <si>
    <t xml:space="preserve">One free-text line. The two selects are removed. The hard rules layer now derives its filters from role text and event type.</t>
  </si>
  <si>
    <t xml:space="preserve">F-010, F-014</t>
  </si>
  <si>
    <t xml:space="preserve">Entry is opening the app</t>
  </si>
  <si>
    <t xml:space="preserve">'You open Ol-ga and tap Go Live.' No mention of scanning anything.</t>
  </si>
  <si>
    <t xml:space="preserve">Venue QR scan as the primary path, geofence as fallback</t>
  </si>
  <si>
    <t xml:space="preserve">Geofence is the primary path; QR is the backup and the only co-working path. Both remain P0.</t>
  </si>
  <si>
    <t xml:space="preserve">F-025, F-026</t>
  </si>
  <si>
    <t xml:space="preserve">Three, not three hundred</t>
  </si>
  <si>
    <t xml:space="preserve">'You don't get three hundred names. You get three.'</t>
  </si>
  <si>
    <t xml:space="preserve">Exactly three matches per Go Live</t>
  </si>
  <si>
    <t xml:space="preserve">F-015</t>
  </si>
  <si>
    <t xml:space="preserve">The reason is written out</t>
  </si>
  <si>
    <t xml:space="preserve">'The reason is written out. You can see exactly why she's on your screen.'</t>
  </si>
  <si>
    <t xml:space="preserve">LLM-generated grounded explanation, 25 words, entity-validated</t>
  </si>
  <si>
    <t xml:space="preserve">F-016, F-017</t>
  </si>
  <si>
    <t xml:space="preserve">Near the north bar</t>
  </si>
  <si>
    <t xml:space="preserve">'Regional director, payments. Also live, near the north bar.'</t>
  </si>
  <si>
    <t xml:space="preserve">WAS MISSING</t>
  </si>
  <si>
    <t xml:space="preserve">No in-venue location at all before Reveal; only a coarse cue after mutual accept</t>
  </si>
  <si>
    <t xml:space="preserve">A SELF-DECLARED venue zone, chosen by the user from an operator-configured list when going Live, shown on the Match Card pre-accept. Volunteered, never sensed - so no location is inferred or stored and the privacy invariant holds.</t>
  </si>
  <si>
    <t xml:space="preserve">F-021</t>
  </si>
  <si>
    <t xml:space="preserve">She can see your reason too</t>
  </si>
  <si>
    <t xml:space="preserve">'She accepts in ninety seconds because she can see your reason too.'</t>
  </si>
  <si>
    <t xml:space="preserve">Incoming request shows the requester's explanation without their identity</t>
  </si>
  <si>
    <t xml:space="preserve">Unchanged, plus the requester's zone</t>
  </si>
  <si>
    <t xml:space="preserve">F-036, F-037</t>
  </si>
  <si>
    <t xml:space="preserve">Ol-ga does not have the conversation</t>
  </si>
  <si>
    <t xml:space="preserve">'Ol-ga does not have the conversation for you - that part is still your job.'</t>
  </si>
  <si>
    <t xml:space="preserve">No in-app chat, permanently. Journey step 20 is explicitly 'the product does nothing here'.</t>
  </si>
  <si>
    <t xml:space="preserve">(by design, none)</t>
  </si>
  <si>
    <t xml:space="preserve">Go live for the hour</t>
  </si>
  <si>
    <t xml:space="preserve">'You go live for the hour before your meeting'</t>
  </si>
  <si>
    <t xml:space="preserve">A system-imposed session TTL, with no user control over duration</t>
  </si>
  <si>
    <t xml:space="preserve">A user-chosen availability window on Go Live. Defaults to one hour or to event end, with time remaining visible.</t>
  </si>
  <si>
    <t xml:space="preserve">F-027</t>
  </si>
  <si>
    <t xml:space="preserve">A different intent</t>
  </si>
  <si>
    <t xml:space="preserve">'with a different intent: hiring a senior backend engineer'</t>
  </si>
  <si>
    <t xml:space="preserve">Intent bound to an Event, editable at the venue</t>
  </si>
  <si>
    <t xml:space="preserve">Intent belongs to a Go Live SESSION. A new room pre-fills the last intent but explicitly prompts a rewrite. This is a data-model decision - settle it at M0.</t>
  </si>
  <si>
    <t xml:space="preserve">F-011</t>
  </si>
  <si>
    <t xml:space="preserve">One notification, three taps</t>
  </si>
  <si>
    <t xml:space="preserve">'One notification: You connected with three people tonight. Did you actually meet? Three taps.'</t>
  </si>
  <si>
    <t xml:space="preserve">One outcome prompt per connection</t>
  </si>
  <si>
    <t xml:space="preserve">ONE batched prompt per user per event, answered as a sequence of single taps, resumable if abandoned partway.</t>
  </si>
  <si>
    <t xml:space="preserve">F-052</t>
  </si>
  <si>
    <t xml:space="preserve">Was it useful?</t>
  </si>
  <si>
    <t xml:space="preserve">'For each yes: was it useful? Two taps.'</t>
  </si>
  <si>
    <t xml:space="preserve">Only the met / not-met answer was captured</t>
  </si>
  <si>
    <t xml:space="preserve">A second question, asked only after a yes, stored as a label distinct from met/not-met. This is what makes 'nine were useful' possible.</t>
  </si>
  <si>
    <t xml:space="preserve">F-056</t>
  </si>
  <si>
    <t xml:space="preserve">Their own words</t>
  </si>
  <si>
    <t xml:space="preserve">'what each of them was looking for in their own words'</t>
  </si>
  <si>
    <t xml:space="preserve">The ledger stored only the generated Explanation</t>
  </si>
  <si>
    <t xml:space="preserve">The counterparty's verbatim Intent Line is stored at connection time and shown alongside the Explanation. Schema change - make it at M0.</t>
  </si>
  <si>
    <t xml:space="preserve">F-046</t>
  </si>
  <si>
    <t xml:space="preserve">The thing you'd forgotten</t>
  </si>
  <si>
    <t xml:space="preserve">'one line you'd forgotten - you told her you'd send the Indonesia deck'</t>
  </si>
  <si>
    <t xml:space="preserve">Nothing. No commitment capture existed anywhere in v1.</t>
  </si>
  <si>
    <t xml:space="preserve">A private commitment line on a Connection, captured in the outcome sequence and editable from the ledger, markable done in one tap, feeding the decay indicator.</t>
  </si>
  <si>
    <t xml:space="preserve">F-050</t>
  </si>
  <si>
    <t xml:space="preserve">Which ones, and how long</t>
  </si>
  <si>
    <t xml:space="preserve">'Two have gone quiet and Ol-ga tells you which ones and how long it's been.'</t>
  </si>
  <si>
    <t xml:space="preserve">A fading visual marker with three states and no elapsed time</t>
  </si>
  <si>
    <t xml:space="preserve">Quiet connections surfaced as a named group with elapsed days. Specific beats vague.</t>
  </si>
  <si>
    <t xml:space="preserve">F-047</t>
  </si>
  <si>
    <t xml:space="preserve">The ledger is the home screen</t>
  </si>
  <si>
    <t xml:space="preserve">'Your home screen isn't a feed. It's your ledger.'</t>
  </si>
  <si>
    <t xml:space="preserve">Ledger is the first screen after login, always, including empty</t>
  </si>
  <si>
    <t xml:space="preserve">F-045</t>
  </si>
  <si>
    <t xml:space="preserve">Co-working, week two</t>
  </si>
  <si>
    <t xml:space="preserve">'a co-working space in KL and there's an Ol-ga sign by the coffee machine'</t>
  </si>
  <si>
    <t xml:space="preserve">DEFERRED - deliberate</t>
  </si>
  <si>
    <t xml:space="preserve">Phase 2 (P2-01), gated on cohort-1 retention</t>
  </si>
  <si>
    <t xml:space="preserve">UNCHANGED, and this is a deliberate disagreement with the story's timeline. The story describes the product vision; the roadmap sequences the build. Co-working stays gated on week-4 off-event retention of 8% or better - below that, the fix is the core loop, not a second venue type. The QR path (F-025) is what a coffee-machine sign uses when it arrives.</t>
  </si>
  <si>
    <t xml:space="preserve">P2-01 to P2-05</t>
  </si>
  <si>
    <t xml:space="preserve">Roadmap, 4 Sep</t>
  </si>
  <si>
    <t xml:space="preserve">Fourteen people, nine useful</t>
  </si>
  <si>
    <t xml:space="preserve">'Your ledger holds fourteen people. Nine were useful.'</t>
  </si>
  <si>
    <t xml:space="preserve">Now possible</t>
  </si>
  <si>
    <t xml:space="preserve">Not computable - usefulness was never captured</t>
  </si>
  <si>
    <t xml:space="preserve">Computable from F-056. Also becomes a reportable figure in the Organiser Outcome Report.</t>
  </si>
  <si>
    <t xml:space="preserve">F-056, F-105</t>
  </si>
  <si>
    <t xml:space="preserve">One is in a contract conversation</t>
  </si>
  <si>
    <t xml:space="preserve">'One is now in a contract conversation.'</t>
  </si>
  <si>
    <t xml:space="preserve">OUT OF SCOPE - noted</t>
  </si>
  <si>
    <t xml:space="preserve">Nothing</t>
  </si>
  <si>
    <t xml:space="preserve">Deliberately not built. Tracking a connection's commercial progression is CRM, and CRM is on the Not Building tab. The commitment line (F-050) is as far as the MVP goes.</t>
  </si>
  <si>
    <t xml:space="preserve">(none)</t>
  </si>
  <si>
    <t xml:space="preserve">Timing, Reason, Memory</t>
  </si>
  <si>
    <t xml:space="preserve">'You got three things LinkedIn structurally cannot give you. Timing. Reason. And memory.'</t>
  </si>
  <si>
    <t xml:space="preserve">STRUCTURAL FINDING</t>
  </si>
  <si>
    <t xml:space="preserve">v1 covered Timing and Reason well. Memory was the weakest pillar - five of the seven gaps found in this review sat in the ledger and outcome loop.</t>
  </si>
  <si>
    <t xml:space="preserve">Memory is now specified to the same depth as the other two: own-words intent, commitment capture, usefulness labels, elapsed-time decay. This matters because the story names Memory as the reason people open the app on a Tuesday - which is exactly what week-4 off-event retention measures.</t>
  </si>
  <si>
    <t xml:space="preserve">F-045 to F-050, F-052 to F-056</t>
  </si>
  <si>
    <t xml:space="preserve">Term (internal)</t>
  </si>
  <si>
    <t xml:space="preserve">User-facing label</t>
  </si>
  <si>
    <t xml:space="preserve">Definition</t>
  </si>
  <si>
    <t xml:space="preserve">What it is NOT</t>
  </si>
  <si>
    <t xml:space="preserve">Where it appears</t>
  </si>
  <si>
    <t xml:space="preserve">Related terms</t>
  </si>
  <si>
    <t xml:space="preserve">Ol-ga</t>
  </si>
  <si>
    <t xml:space="preserve">The product. A mobile app that makes professional availability visible and actionable inside a physical space, for the duration of that space.</t>
  </si>
  <si>
    <t xml:space="preserve">Not a social network, not a messaging app, not an event app. It has no feed and no chat.</t>
  </si>
  <si>
    <t xml:space="preserve">Everywhere</t>
  </si>
  <si>
    <t xml:space="preserve">Live Room, Ledger</t>
  </si>
  <si>
    <t xml:space="preserve">Event</t>
  </si>
  <si>
    <t xml:space="preserve">A time-boxed gathering created by an operator in the admin panel, with a venue, a start/end window and a QR secret. All matching is scoped to one Event.</t>
  </si>
  <si>
    <t xml:space="preserve">Not a calendar entry the user creates. Users never create Events in the MVP.</t>
  </si>
  <si>
    <t xml:space="preserve">Admin panel; Live Room</t>
  </si>
  <si>
    <t xml:space="preserve">Venue Session, Live Room, Organiser</t>
  </si>
  <si>
    <t xml:space="preserve">Organiser</t>
  </si>
  <si>
    <t xml:space="preserve">The company or person running the Event and, from Phase 6, the paying customer. Brand Laureate is Organiser #1.</t>
  </si>
  <si>
    <t xml:space="preserve">Not a user role inside the app in the MVP - Organisers are served by your team, by hand.</t>
  </si>
  <si>
    <t xml:space="preserve">Commercial docs; Outcome Report</t>
  </si>
  <si>
    <t xml:space="preserve">Event, Outcome Report</t>
  </si>
  <si>
    <t xml:space="preserve">Venue Session</t>
  </si>
  <si>
    <t xml:space="preserve">(not shown)</t>
  </si>
  <si>
    <t xml:space="preserve">A server-side record that a given user is present at a given Event, with a TTL. Replaces continuous proximity scanning entirely.</t>
  </si>
  <si>
    <t xml:space="preserve">NOT a location record. No latitude/longitude is ever stored. It is a room membership, not a position.</t>
  </si>
  <si>
    <t xml:space="preserve">Backend only</t>
  </si>
  <si>
    <t xml:space="preserve">Live Room, Session Identifier, Go Live</t>
  </si>
  <si>
    <t xml:space="preserve">Live Room</t>
  </si>
  <si>
    <t xml:space="preserve">The room</t>
  </si>
  <si>
    <t xml:space="preserve">The set of users who currently have an active Venue Session at one Event and have gone Live. Matching only ever searches inside a Live Room.</t>
  </si>
  <si>
    <t xml:space="preserve">Not a chat room. Not a public attendee list - you never browse it.</t>
  </si>
  <si>
    <t xml:space="preserve">Live tab</t>
  </si>
  <si>
    <t xml:space="preserve">Venue Session, Live Count, Match</t>
  </si>
  <si>
    <t xml:space="preserve">Venue QR</t>
  </si>
  <si>
    <t xml:space="preserve">Ol-ga code</t>
  </si>
  <si>
    <t xml:space="preserve">BACKUP PATH. A printed QR at badge pickup, on tables, or on a co-working sign that creates a Venue Session when scanned.</t>
  </si>
  <si>
    <t xml:space="preserve">Not the primary entry route any more - geofence is. It remains the only route that works with location permission denied, and the only route at a co-working sign.</t>
  </si>
  <si>
    <t xml:space="preserve">Physical venue; QR scanner screen</t>
  </si>
  <si>
    <t xml:space="preserve">Venue Session, Geofence Check</t>
  </si>
  <si>
    <t xml:space="preserve">Geofence Check</t>
  </si>
  <si>
    <t xml:space="preserve">PRIMARY PATH. A single coarse location check, once, in the foreground on app open, placing the user in the Live Room with no scanning.</t>
  </si>
  <si>
    <t xml:space="preserve">NOT background location. NOT continuous. NOT a position that is stored. It happens once, in the foreground, and produces a room membership.</t>
  </si>
  <si>
    <t xml:space="preserve">Backend + one permission prompt</t>
  </si>
  <si>
    <t xml:space="preserve">Venue QR, Venue Session</t>
  </si>
  <si>
    <t xml:space="preserve">Go Live</t>
  </si>
  <si>
    <t xml:space="preserve">The explicit user action that makes them visible to matching, for a duration they choose - the story's 'go live for the hour before my meeting'.</t>
  </si>
  <si>
    <t xml:space="preserve">Not automatic, not passive presence, and not open-ended. Being in the venue does not make you visible, and going Live does not keep you visible indefinitely.</t>
  </si>
  <si>
    <t xml:space="preserve">Go Offline, Live Count</t>
  </si>
  <si>
    <t xml:space="preserve">Live</t>
  </si>
  <si>
    <t xml:space="preserve">The state of a user who has gone Live and whose Venue Session has not expired.</t>
  </si>
  <si>
    <t xml:space="preserve">Not 'online' in a messaging sense. It is scoped to one Event and expires.</t>
  </si>
  <si>
    <t xml:space="preserve">Live tab; Live Count</t>
  </si>
  <si>
    <t xml:space="preserve">Go Offline</t>
  </si>
  <si>
    <t xml:space="preserve">The user action that ends visibility immediately. Presence disappears within 5 seconds.</t>
  </si>
  <si>
    <t xml:space="preserve">Not logging out. The account, Ledger and Connections all remain.</t>
  </si>
  <si>
    <t xml:space="preserve">Go Live, Venue Session</t>
  </si>
  <si>
    <t xml:space="preserve">Live Count</t>
  </si>
  <si>
    <t xml:space="preserve">'N people live right now'</t>
  </si>
  <si>
    <t xml:space="preserve">The number of users currently Live in this Live Room. Shown honestly, including when it is low.</t>
  </si>
  <si>
    <t xml:space="preserve">Not attendance. Not registrations. Only people who actively went Live.</t>
  </si>
  <si>
    <t xml:space="preserve">Session Identifier</t>
  </si>
  <si>
    <t xml:space="preserve">A rotating, session-scoped, expiring token that represents a user inside a Live Room instead of their durable user id.</t>
  </si>
  <si>
    <t xml:space="preserve">Not a user id. Not stable across Events. It is what prevents a durable presence trail existing.</t>
  </si>
  <si>
    <t xml:space="preserve">Venue Session, Reveal</t>
  </si>
  <si>
    <t xml:space="preserve">Intent</t>
  </si>
  <si>
    <t xml:space="preserve">What you're here for</t>
  </si>
  <si>
    <t xml:space="preserve">STORY-ALIGNED: ONE free-text line stating what the user wants from this session. Captured before arrival, rewritten per session.</t>
  </si>
  <si>
    <t xml:space="preserve">Not a bio, not a profile, not a headline, and NOT a set of dropdowns - the two structured selects were removed to match the story. It is a request, and it expires with the session.</t>
  </si>
  <si>
    <t xml:space="preserve">Intent capture screen</t>
  </si>
  <si>
    <t xml:space="preserve">Intent Line, Match</t>
  </si>
  <si>
    <t xml:space="preserve">Intent Line</t>
  </si>
  <si>
    <t xml:space="preserve">(the text box)</t>
  </si>
  <si>
    <t xml:space="preserve">The single free-text sentence that IS the Intent. It is the only input to matching. Story example: 'looking for a distribution partner for our fintech product in Indonesia'.</t>
  </si>
  <si>
    <t xml:space="preserve">Not a job title, not a career summary, and not one of several fields - it is now the whole thing.</t>
  </si>
  <si>
    <t xml:space="preserve">Intent, Embedding</t>
  </si>
  <si>
    <t xml:space="preserve">Embedding</t>
  </si>
  <si>
    <t xml:space="preserve">The vector representation of an Intent Line, generated by a hosted embedding API and used for similarity search inside a Live Room.</t>
  </si>
  <si>
    <t xml:space="preserve">Not a trained model of ours. It is rented, commodity infrastructure.</t>
  </si>
  <si>
    <t xml:space="preserve">Hard Rules</t>
  </si>
  <si>
    <t xml:space="preserve">Deterministic filters applied after similarity search: already connected, already shown, mutual exclusions, seniority sanity, reciprocity, rate limits.</t>
  </si>
  <si>
    <t xml:space="preserve">Not the algorithm. Similarity proposes; hard rules dispose.</t>
  </si>
  <si>
    <t xml:space="preserve">Match Set</t>
  </si>
  <si>
    <t xml:space="preserve">Match</t>
  </si>
  <si>
    <t xml:space="preserve">A match</t>
  </si>
  <si>
    <t xml:space="preserve">One other Live user proposed to you, with a written Explanation of why them and why now.</t>
  </si>
  <si>
    <t xml:space="preserve">Not a connection. Not a contact. A Match is a suggestion until a Request is accepted.</t>
  </si>
  <si>
    <t xml:space="preserve">Match Card</t>
  </si>
  <si>
    <t xml:space="preserve">Match Set, Explanation</t>
  </si>
  <si>
    <t xml:space="preserve">Your three matches</t>
  </si>
  <si>
    <t xml:space="preserve">Exactly three Matches, generated once per Go Live. Three is a product decision, not a default.</t>
  </si>
  <si>
    <t xml:space="preserve">Not a list to scroll. Not a feed. There is no fourth match to find.</t>
  </si>
  <si>
    <t xml:space="preserve">Match, Explanation</t>
  </si>
  <si>
    <t xml:space="preserve">(the card)</t>
  </si>
  <si>
    <t xml:space="preserve">The UI object presenting one Match: the Explanation first, the person second, one action.</t>
  </si>
  <si>
    <t xml:space="preserve">Not a profile. It deliberately shows less than a profile would.</t>
  </si>
  <si>
    <t xml:space="preserve">Match, Explanation, Reveal</t>
  </si>
  <si>
    <t xml:space="preserve">Explanation</t>
  </si>
  <si>
    <t xml:space="preserve">Why you two</t>
  </si>
  <si>
    <t xml:space="preserve">A grounded sentence of 25 words or fewer, written by an LLM, saying why this person and why now. It is the reason to walk across the room.</t>
  </si>
  <si>
    <t xml:space="preserve">Not a summary of their profile. Not marketing copy. It may only reference facts present in the two profiles.</t>
  </si>
  <si>
    <t xml:space="preserve">Match, Entity Validator</t>
  </si>
  <si>
    <t xml:space="preserve">Entity Validator</t>
  </si>
  <si>
    <t xml:space="preserve">A check that rejects any generated Explanation containing a company, role or fact not present in the source data, before it can reach a user.</t>
  </si>
  <si>
    <t xml:space="preserve">Not a quality nicety. It is a safety control - the output is read aloud to a stranger.</t>
  </si>
  <si>
    <t xml:space="preserve">Explanation, Fallback Explanation</t>
  </si>
  <si>
    <t xml:space="preserve">Fallback Explanation</t>
  </si>
  <si>
    <t xml:space="preserve">A rule-based sentence served when the LLM call fails or its output is rejected. Behind a feature flag.</t>
  </si>
  <si>
    <t xml:space="preserve">Not a degraded experience the user is told about. It should read normally.</t>
  </si>
  <si>
    <t xml:space="preserve">Explanation, Kill Switch</t>
  </si>
  <si>
    <t xml:space="preserve">Connect Request</t>
  </si>
  <si>
    <t xml:space="preserve">Connect</t>
  </si>
  <si>
    <t xml:space="preserve">A one-way signal of interest sent from one Live user to a Match. Costs nothing socially, because a decline is never visible.</t>
  </si>
  <si>
    <t xml:space="preserve">Not a message. There is no text attached and no way to attach one.</t>
  </si>
  <si>
    <t xml:space="preserve">Accept, Silent Decline</t>
  </si>
  <si>
    <t xml:space="preserve">Accept</t>
  </si>
  <si>
    <t xml:space="preserve">Agreeing to a Connect Request. On mutual accept, and only then, identity is revealed to both sides.</t>
  </si>
  <si>
    <t xml:space="preserve">Not a follow. Not a friend request. It resolves to an in-person meeting, not a thread.</t>
  </si>
  <si>
    <t xml:space="preserve">Request notification; Live tab</t>
  </si>
  <si>
    <t xml:space="preserve">Reveal, Connection</t>
  </si>
  <si>
    <t xml:space="preserve">Silent Decline</t>
  </si>
  <si>
    <t xml:space="preserve">(nothing is shown)</t>
  </si>
  <si>
    <t xml:space="preserve">Ignoring or declining a Connect Request. The sender is never told, sees no state change, and cannot infer it from timing.</t>
  </si>
  <si>
    <t xml:space="preserve">NOT a rejection notice. Not a 'pending' state that eventually resolves visibly. This is a hard privacy invariant.</t>
  </si>
  <si>
    <t xml:space="preserve">Nowhere, by design</t>
  </si>
  <si>
    <t xml:space="preserve">Reveal</t>
  </si>
  <si>
    <t xml:space="preserve">(names appear)</t>
  </si>
  <si>
    <t xml:space="preserve">The moment identity becomes visible to both parties, triggered only by mutual Accept and enforced at the database layer.</t>
  </si>
  <si>
    <t xml:space="preserve">Not an API filter. Identity must be genuinely unobtainable before Reveal, not merely hidden.</t>
  </si>
  <si>
    <t xml:space="preserve">Live tab; Connection detail</t>
  </si>
  <si>
    <t xml:space="preserve">Accept, Session Identifier</t>
  </si>
  <si>
    <t xml:space="preserve">Connection</t>
  </si>
  <si>
    <t xml:space="preserve">A connection</t>
  </si>
  <si>
    <t xml:space="preserve">A mutually accepted pair. It has a place, a time, and the original Explanation attached as context. It lives in the Ledger forever.</t>
  </si>
  <si>
    <t xml:space="preserve">Not a contact. Not a follower. Not an address book entry you imported.</t>
  </si>
  <si>
    <t xml:space="preserve">Ledger</t>
  </si>
  <si>
    <t xml:space="preserve">Ledger, Encounter</t>
  </si>
  <si>
    <t xml:space="preserve">Your ledger</t>
  </si>
  <si>
    <t xml:space="preserve">The home screen. Every Connection ever made, each showing the counterparty's intent IN THEIR OWN WORDS, what you owe them, and how long it has been.</t>
  </si>
  <si>
    <t xml:space="preserve">Not a feed, not a CRM, not a chat list, and not a list of names - without the own-words intent and the commitment line it is just a contact list, which is the thing the story says is worthless.</t>
  </si>
  <si>
    <t xml:space="preserve">Home tab</t>
  </si>
  <si>
    <t xml:space="preserve">Connection, Decay Indicator, Off-Event</t>
  </si>
  <si>
    <t xml:space="preserve">Decay Indicator</t>
  </si>
  <si>
    <t xml:space="preserve">(the fading marker)</t>
  </si>
  <si>
    <t xml:space="preserve">A visual signal on a Connection showing that follow-up is going cold. The entire off-event retention mechanic rests on it.</t>
  </si>
  <si>
    <t xml:space="preserve">Not a notification by default. Not a nag. If opt-out rises, it has crossed the line.</t>
  </si>
  <si>
    <t xml:space="preserve">Ledger, Follow-up</t>
  </si>
  <si>
    <t xml:space="preserve">Encounter</t>
  </si>
  <si>
    <t xml:space="preserve">The graph edge between two people who connected at an Event, carrying both Outcome Labels and an agreement flag.</t>
  </si>
  <si>
    <t xml:space="preserve">Not a Connection - a Connection is what the user sees, an Encounter is what the company owns.</t>
  </si>
  <si>
    <t xml:space="preserve">Encounter Graph, Outcome Label</t>
  </si>
  <si>
    <t xml:space="preserve">Outcome Prompt</t>
  </si>
  <si>
    <t xml:space="preserve">Did you actually meet?</t>
  </si>
  <si>
    <t xml:space="preserve">STORY-ALIGNED: ONE notification after the Event covering every connection made that night - 'You connected with three people tonight. Did you actually meet?' - answered as a short sequence of single taps.</t>
  </si>
  <si>
    <t xml:space="preserve">Not one notification per connection. Not a survey. Not an NPS. The story's user answers for three people in three taps.</t>
  </si>
  <si>
    <t xml:space="preserve">Push; in-app fallback</t>
  </si>
  <si>
    <t xml:space="preserve">Outcome Label, Dual-Party Confirmation</t>
  </si>
  <si>
    <t xml:space="preserve">Outcome Label</t>
  </si>
  <si>
    <t xml:space="preserve">Yes / No / Not yet</t>
  </si>
  <si>
    <t xml:space="preserve">A side's answers about one Encounter. TWO levels: did you meet (Yes / No / Not yet), and - only if yes - was it useful.</t>
  </si>
  <si>
    <t xml:space="preserve">Not a rating of the other person, and not a single answer. Met and useful are different facts, and only the second one carries value.</t>
  </si>
  <si>
    <t xml:space="preserve">Outcome prompt</t>
  </si>
  <si>
    <t xml:space="preserve">Encounter, Dual-Party Confirmation</t>
  </si>
  <si>
    <t xml:space="preserve">Dual-Party Confirmation</t>
  </si>
  <si>
    <t xml:space="preserve">Both sides of an Encounter having answered the Outcome Prompt. The gate metric is the rate at which this happens. Target 30%.</t>
  </si>
  <si>
    <t xml:space="preserve">Not one side confirming. One-sided answers are recorded but do not count.</t>
  </si>
  <si>
    <t xml:space="preserve">Backend; reporting</t>
  </si>
  <si>
    <t xml:space="preserve">Outcome Label, Confirmed Meeting</t>
  </si>
  <si>
    <t xml:space="preserve">Confirmed Meeting</t>
  </si>
  <si>
    <t xml:space="preserve">An Encounter where both Outcome Labels are 'Yes' within 7 days. The north-star metric.</t>
  </si>
  <si>
    <t xml:space="preserve">Not a match, not a connection, not an intention. Two independent people said it happened.</t>
  </si>
  <si>
    <t xml:space="preserve">Reporting; Outcome Report</t>
  </si>
  <si>
    <t xml:space="preserve">Encounter Graph, Dual-Party Confirmation</t>
  </si>
  <si>
    <t xml:space="preserve">Encounter Graph</t>
  </si>
  <si>
    <t xml:space="preserve">The accumulated, outcome-labelled set of Encounters across all Events. The company's compounding asset.</t>
  </si>
  <si>
    <t xml:space="preserve">Not a social graph. Not imported contacts. It is earned and labelled, which is what makes it valuable.</t>
  </si>
  <si>
    <t xml:space="preserve">Backend; exported after every Event</t>
  </si>
  <si>
    <t xml:space="preserve">Encounter, Confirmed Meeting</t>
  </si>
  <si>
    <t xml:space="preserve">Off-Event</t>
  </si>
  <si>
    <t xml:space="preserve">App usage measured strictly away from any active Venue Session. Computed server-side from a definition frozen at M0 and protected by a CI test.</t>
  </si>
  <si>
    <t xml:space="preserve">NOT 'not at the venue right now'. It is a fixed definition that must never be adjusted after seeing a result.</t>
  </si>
  <si>
    <t xml:space="preserve">Reporting only</t>
  </si>
  <si>
    <t xml:space="preserve">Cohort, Week-4 Retention</t>
  </si>
  <si>
    <t xml:space="preserve">Cohort</t>
  </si>
  <si>
    <t xml:space="preserve">All users acquired at one Event, tracked together over time.</t>
  </si>
  <si>
    <t xml:space="preserve">Not all users. Not a segment you can redefine later.</t>
  </si>
  <si>
    <t xml:space="preserve">Off-Event, Week-4 Retention</t>
  </si>
  <si>
    <t xml:space="preserve">Week-4 Off-Event Retention</t>
  </si>
  <si>
    <t xml:space="preserve">The percentage of a Cohort still active at day 28, measured strictly Off-Event. Gate metric 1. Ladder: under 6% at norm, 8-12% strong, 15%+ top decile.</t>
  </si>
  <si>
    <t xml:space="preserve">Not day-28 app opens including at a venue. The Off-Event filter is the whole point.</t>
  </si>
  <si>
    <t xml:space="preserve">Cohort, Off-Event</t>
  </si>
  <si>
    <t xml:space="preserve">Outcome Report</t>
  </si>
  <si>
    <t xml:space="preserve">Event report</t>
  </si>
  <si>
    <t xml:space="preserve">The productised post-Event artefact given to the Organiser: live users, matches, accepted connections, Confirmed Meetings, intent themes. This is the thing you sell.</t>
  </si>
  <si>
    <t xml:space="preserve">Not a dashboard. Not a login. In this horizon it is generated by your team and delivered as a document.</t>
  </si>
  <si>
    <t xml:space="preserve">Delivered to Organiser</t>
  </si>
  <si>
    <t xml:space="preserve">Organiser, Confirmed Meeting</t>
  </si>
  <si>
    <t xml:space="preserve">Kill Switch</t>
  </si>
  <si>
    <t xml:space="preserve">A server-side flag that disables one capability instantly without a deploy: matching, explanations, push, or the outcome prompt.</t>
  </si>
  <si>
    <t xml:space="preserve">Not a deploy. Not an app update. It must work in under a minute, from a phone, at an event.</t>
  </si>
  <si>
    <t xml:space="preserve">Admin panel</t>
  </si>
  <si>
    <t xml:space="preserve">Feature Flag, OTA Update</t>
  </si>
  <si>
    <t xml:space="preserve">OTA Update</t>
  </si>
  <si>
    <t xml:space="preserve">An EAS Update pushing a JavaScript-only fix to installed apps without a store review round-trip. Configured in Week 1, used on Event day.</t>
  </si>
  <si>
    <t xml:space="preserve">Not a store release. Cannot change native code - which is why native freeze happens at W11.</t>
  </si>
  <si>
    <t xml:space="preserve">Release process</t>
  </si>
  <si>
    <t xml:space="preserve">Kill Switch, Native Freeze</t>
  </si>
  <si>
    <t xml:space="preserve">Native Freeze</t>
  </si>
  <si>
    <t xml:space="preserve">The point at which no further native code changes are made, so the submitted binary is final. End of Week 11.</t>
  </si>
  <si>
    <t xml:space="preserve">Not a code freeze. JavaScript continues to ship via OTA after it.</t>
  </si>
  <si>
    <t xml:space="preserve">install_source</t>
  </si>
  <si>
    <t xml:space="preserve">A property recorded on every install identifying how the user arrived: ticket email, badge QR, table QR, stage mention, or organic.</t>
  </si>
  <si>
    <t xml:space="preserve">Not attribution marketing. It is the only way to know whether the cold-start machine worked, and it cannot be reconstructed later.</t>
  </si>
  <si>
    <t xml:space="preserve">Analytics only</t>
  </si>
  <si>
    <t xml:space="preserve">Cold-Start Machine</t>
  </si>
  <si>
    <t xml:space="preserve">The operational acquisition system: install link in the ticket confirmation email, QR at badge pickup and tables, and 30 seconds from the stage.</t>
  </si>
  <si>
    <t xml:space="preserve">Not marketing. It is an agreement with the Organiser, and it outranks every software feature in priority.</t>
  </si>
  <si>
    <t xml:space="preserve">Operations</t>
  </si>
  <si>
    <t xml:space="preserve">install_source, Live Count</t>
  </si>
  <si>
    <t xml:space="preserve">Venue Zone</t>
  </si>
  <si>
    <t xml:space="preserve">Where are you right now?</t>
  </si>
  <si>
    <t xml:space="preserve">A coarse, SELF-DECLARED location inside a venue, chosen from a list the operator configured - 'north bar', 'main hall', 'registration'. Shown on the Match Card before either party accepts.</t>
  </si>
  <si>
    <t xml:space="preserve">NOT sensed, NOT inferred, and NOT stored as a position. The user volunteers it and it clears when their session ends. A sensed zone shown pre-accept was considered and explicitly rejected.</t>
  </si>
  <si>
    <t xml:space="preserve">Live tab; Match Card</t>
  </si>
  <si>
    <t xml:space="preserve">Go Live, Match Card, Live Room</t>
  </si>
  <si>
    <t xml:space="preserve">Availability Window</t>
  </si>
  <si>
    <t xml:space="preserve">Go live for...</t>
  </si>
  <si>
    <t xml:space="preserve">The duration a user chooses when going Live - the story's 'for the hour before my meeting'. Defaults to one hour, or to the end of the Event.</t>
  </si>
  <si>
    <t xml:space="preserve">Not a session timeout the system imposes silently. The user picks it and can see the time remaining.</t>
  </si>
  <si>
    <t xml:space="preserve">Commitment</t>
  </si>
  <si>
    <t xml:space="preserve">What you owe them</t>
  </si>
  <si>
    <t xml:space="preserve">A short line on a Connection recording what you promised - the story's 'you told her you'd send the Indonesia deck'. Added at the outcome prompt, editable from the Ledger.</t>
  </si>
  <si>
    <t xml:space="preserve">Not a task manager, not a reminder system, and not shared with the other person. It is a private note to yourself.</t>
  </si>
  <si>
    <t xml:space="preserve">Ledger; Connection detail</t>
  </si>
  <si>
    <t xml:space="preserve">Ledger, Decay Indicator, Outcome Prompt</t>
  </si>
  <si>
    <t xml:space="preserve">Usefulness Label</t>
  </si>
  <si>
    <t xml:space="preserve">The second outcome question, asked only when a user answered yes to having met. One tap.</t>
  </si>
  <si>
    <t xml:space="preserve">Not a rating of the person, never shown to the other party, and not the same fact as having met. 'Nine of fourteen were useful' is only possible because this is separate.</t>
  </si>
  <si>
    <t xml:space="preserve">Outcome Label, Encounter Graph</t>
  </si>
  <si>
    <t xml:space="preserve">ID</t>
  </si>
  <si>
    <t xml:space="preserve">Epic</t>
  </si>
  <si>
    <t xml:space="preserve">Feature</t>
  </si>
  <si>
    <t xml:space="preserve">User-facing name</t>
  </si>
  <si>
    <t xml:space="preserve">What it does</t>
  </si>
  <si>
    <t xml:space="preserve">User value</t>
  </si>
  <si>
    <t xml:space="preserve">Priority</t>
  </si>
  <si>
    <t xml:space="preserve">Milestone</t>
  </si>
  <si>
    <t xml:space="preserve">Effort</t>
  </si>
  <si>
    <t xml:space="preserve">Owner</t>
  </si>
  <si>
    <t xml:space="preserve">Depends on</t>
  </si>
  <si>
    <t xml:space="preserve">Acceptance criteria</t>
  </si>
  <si>
    <t xml:space="preserve">States required</t>
  </si>
  <si>
    <t xml:space="preserve">Analytics events</t>
  </si>
  <si>
    <t xml:space="preserve">Risk / note</t>
  </si>
  <si>
    <t xml:space="preserve">F-001</t>
  </si>
  <si>
    <t xml:space="preserve">E6 Identity &amp; Onboarding</t>
  </si>
  <si>
    <t xml:space="preserve">Phone / email OTP sign-in</t>
  </si>
  <si>
    <t xml:space="preserve">Sign in</t>
  </si>
  <si>
    <t xml:space="preserve">One-time code to phone or email. No password, no social login required.</t>
  </si>
  <si>
    <t xml:space="preserve">Gets a stranger in without a barrier, in under 30 seconds.</t>
  </si>
  <si>
    <t xml:space="preserve">Table stakes</t>
  </si>
  <si>
    <t xml:space="preserve">P0</t>
  </si>
  <si>
    <t xml:space="preserve">M1</t>
  </si>
  <si>
    <t xml:space="preserve">M</t>
  </si>
  <si>
    <t xml:space="preserve">SD</t>
  </si>
  <si>
    <t xml:space="preserve">Managed backend auth</t>
  </si>
  <si>
    <t xml:space="preserve">New user receives and enters a code and reaches the profile screen; both SMS and email paths work; tested on Maxis, Celcom, Digi and U Mobile.</t>
  </si>
  <si>
    <t xml:space="preserve">Default; code sent; invalid code; expired code; rate limited; no network</t>
  </si>
  <si>
    <t xml:space="preserve">signup_started, signup_completed</t>
  </si>
  <si>
    <t xml:space="preserve">SMS deliverability on Malaysian carriers is the risk. Keep email OTP first-class, not a fallback.</t>
  </si>
  <si>
    <t xml:space="preserve">Deep link entry from ticket email</t>
  </si>
  <si>
    <t xml:space="preserve">(invisible)</t>
  </si>
  <si>
    <t xml:space="preserve">A link in the Organiser's ticket confirmation opens the app - or the store, then the app - and lands the user directly on Intent capture for that Event.</t>
  </si>
  <si>
    <t xml:space="preserve">Removes every step between deciding to join and stating what you want.</t>
  </si>
  <si>
    <t xml:space="preserve">Differentiating</t>
  </si>
  <si>
    <t xml:space="preserve">F-001; Organiser email platform</t>
  </si>
  <si>
    <t xml:space="preserve">Link from a real confirmation email opens the installed app on Intent capture with the correct Event pre-bound; if not installed, it routes via the store and preserves the Event on first open.</t>
  </si>
  <si>
    <t xml:space="preserve">Default; app not installed; wrong/expired Event; already completed</t>
  </si>
  <si>
    <t xml:space="preserve">install (with install_source)</t>
  </si>
  <si>
    <t xml:space="preserve">Highest-leverage feature in the whole register. Blocked on the Organiser registration agreement, not on code.</t>
  </si>
  <si>
    <t xml:space="preserve">F-003</t>
  </si>
  <si>
    <t xml:space="preserve">Minimal profile</t>
  </si>
  <si>
    <t xml:space="preserve">Your profile</t>
  </si>
  <si>
    <t xml:space="preserve">STORY-ALIGNED: name and role. That is all. No photo, no company at sign-up.</t>
  </si>
  <si>
    <t xml:space="preserve">The story's onboarding is 40 seconds - 'verify your number, type your role, and write one line'. Every extra field is measured against that.</t>
  </si>
  <si>
    <t xml:space="preserve">XS</t>
  </si>
  <si>
    <t xml:space="preserve">JA</t>
  </si>
  <si>
    <t xml:space="preserve">Profile completes in under 20 seconds. Two fields only. A third field may not be added without an equal removal, in writing.</t>
  </si>
  <si>
    <t xml:space="preserve">Default; incomplete; saving; save failed</t>
  </si>
  <si>
    <t xml:space="preserve">profile_completed</t>
  </si>
  <si>
    <t xml:space="preserve">CHANGED to match the story brief. Company was removed - the hard rules layer now derives seniority context from role text and event type instead.</t>
  </si>
  <si>
    <t xml:space="preserve">F-004</t>
  </si>
  <si>
    <t xml:space="preserve">LinkedIn profile prefill</t>
  </si>
  <si>
    <t xml:space="preserve">Import from LinkedIn</t>
  </si>
  <si>
    <t xml:space="preserve">Optional one-tap prefill of name and role. Never a sign-in path.</t>
  </si>
  <si>
    <t xml:space="preserve">Saves typing for the users most likely to have a complete profile.</t>
  </si>
  <si>
    <t xml:space="preserve">P2</t>
  </si>
  <si>
    <t xml:space="preserve">S</t>
  </si>
  <si>
    <t xml:space="preserve">Prefill populates both fields and the user can edit each one before saving. App is fully usable without it.</t>
  </si>
  <si>
    <t xml:space="preserve">Default; auth failed; declined; partial data</t>
  </si>
  <si>
    <t xml:space="preserve">profile_prefill_used</t>
  </si>
  <si>
    <t xml:space="preserve">Cut first if behind. With profile down to two fields, this saves very little - reconsider whether it is worth building at all.</t>
  </si>
  <si>
    <t xml:space="preserve">F-008</t>
  </si>
  <si>
    <t xml:space="preserve">Deferred photo prompt</t>
  </si>
  <si>
    <t xml:space="preserve">Add a photo</t>
  </si>
  <si>
    <t xml:space="preserve">Asks for a profile photo AFTER the first Reveal, not at sign-up, framed as helping people find you.</t>
  </si>
  <si>
    <t xml:space="preserve">Keeps onboarding at 40 seconds while still getting photos onto the profiles that matter - the ones people are trying to find in a ballroom.</t>
  </si>
  <si>
    <t xml:space="preserve">P1</t>
  </si>
  <si>
    <t xml:space="preserve">M3</t>
  </si>
  <si>
    <t xml:space="preserve">F-003, F-036</t>
  </si>
  <si>
    <t xml:space="preserve">Prompt never appears during onboarding. Reveal renders correctly with an initials placeholder when no photo exists.</t>
  </si>
  <si>
    <t xml:space="preserve">No photo (initials); prompted; uploading; upload failed</t>
  </si>
  <si>
    <t xml:space="preserve">photo_added</t>
  </si>
  <si>
    <t xml:space="preserve">Consequence of the 40-second onboarding decision. Without this, most Reveals will show initials at Event 1 - make sure the placeholder is designed, not default.</t>
  </si>
  <si>
    <t xml:space="preserve">F-005</t>
  </si>
  <si>
    <t xml:space="preserve">Push permission request</t>
  </si>
  <si>
    <t xml:space="preserve">(system prompt)</t>
  </si>
  <si>
    <t xml:space="preserve">Asks for notification permission immediately AFTER the first Match Set is served, never at install.</t>
  </si>
  <si>
    <t xml:space="preserve">Asked at the moment of proven value, so the grant rate is far higher.</t>
  </si>
  <si>
    <t xml:space="preserve">Operational</t>
  </si>
  <si>
    <t xml:space="preserve">M2</t>
  </si>
  <si>
    <t xml:space="preserve">Prompt does not appear before the first Match Set. Grant rate measured. App degrades gracefully if denied.</t>
  </si>
  <si>
    <t xml:space="preserve">Granted; denied; previously denied (deep link to settings)</t>
  </si>
  <si>
    <t xml:space="preserve">push_permission_prompted, push_permission_result</t>
  </si>
  <si>
    <t xml:space="preserve">The Outcome loop depends on this. Asking at install would quietly halve gate metric 2.</t>
  </si>
  <si>
    <t xml:space="preserve">F-006</t>
  </si>
  <si>
    <t xml:space="preserve">Self-serve account deletion</t>
  </si>
  <si>
    <t xml:space="preserve">Delete my account</t>
  </si>
  <si>
    <t xml:space="preserve">Deletes the account and all personal data from a single screen, with confirmation.</t>
  </si>
  <si>
    <t xml:space="preserve">Trust, and the PDPA erasure right.</t>
  </si>
  <si>
    <t xml:space="preserve">Deletion completes within the stated window and is verified by an actual test, not an assumption. Encounter rows are anonymised, not orphaned.</t>
  </si>
  <si>
    <t xml:space="preserve">Confirm; processing; done; failed</t>
  </si>
  <si>
    <t xml:space="preserve">account_deleted</t>
  </si>
  <si>
    <t xml:space="preserve">Build in M1 while there are three tables. Expensive against fifteen.</t>
  </si>
  <si>
    <t xml:space="preserve">F-007</t>
  </si>
  <si>
    <t xml:space="preserve">Self-serve data export</t>
  </si>
  <si>
    <t xml:space="preserve">Download my data</t>
  </si>
  <si>
    <t xml:space="preserve">Exports the user's profile, intents, connections and outcomes in a readable format.</t>
  </si>
  <si>
    <t xml:space="preserve">PDPA portability right.</t>
  </si>
  <si>
    <t xml:space="preserve">Export delivered to the user and contains every category named in the privacy notice.</t>
  </si>
  <si>
    <t xml:space="preserve">Request; preparing; ready; failed</t>
  </si>
  <si>
    <t xml:space="preserve">data_export_requested</t>
  </si>
  <si>
    <t xml:space="preserve">Same reasoning as F-006 - trivial now, expensive later.</t>
  </si>
  <si>
    <t xml:space="preserve">F-010</t>
  </si>
  <si>
    <t xml:space="preserve">E2 Intent &amp; Matching</t>
  </si>
  <si>
    <t xml:space="preserve">Intent capture</t>
  </si>
  <si>
    <t xml:space="preserve">What are you hoping to get out of the evening?</t>
  </si>
  <si>
    <t xml:space="preserve">STORY-ALIGNED: ONE free-text line. No structured selects. Captured in the ticket confirmation, before arrival.</t>
  </si>
  <si>
    <t xml:space="preserve">Matching quality is entirely downstream of this one sentence. The story's example - 'looking for a distribution partner for our fintech product in Indonesia' - is the quality bar.</t>
  </si>
  <si>
    <t xml:space="preserve">F-001, F-002</t>
  </si>
  <si>
    <t xml:space="preserve">Whole onboarding including this line completes in under 40 seconds median. One required field. Bound to one Go Live session, not permanently to the user.</t>
  </si>
  <si>
    <t xml:space="preserve">Default; empty; too short; typing; saving; saved; save failed; offline</t>
  </si>
  <si>
    <t xml:space="preserve">intent_submitted</t>
  </si>
  <si>
    <t xml:space="preserve">CHANGED: the two structured selects from the build plan are removed to match the story. The prompt wording is now the ONLY input to matching and is the highest-leverage copy decision in the product. Show the story's example verbatim as placeholder text.</t>
  </si>
  <si>
    <t xml:space="preserve">Per-session intent</t>
  </si>
  <si>
    <t xml:space="preserve">Change what you're here for</t>
  </si>
  <si>
    <t xml:space="preserve">STORY-ALIGNED: Intent belongs to a Go Live session, not to the Event or the profile. The story's user goes live at a co-working space 'with a different intent: hiring a senior backend engineer'.</t>
  </si>
  <si>
    <t xml:space="preserve">What you want at an awards night and what you want on a Tuesday morning are different things. Binding intent to the person would make matching wrong most of the time.</t>
  </si>
  <si>
    <t xml:space="preserve">Going Live in a new room pre-fills the previous Intent but explicitly prompts to rewrite it. Editing invalidates the cached Match Set.</t>
  </si>
  <si>
    <t xml:space="preserve">Default; prefilled from last session; editing; regenerating</t>
  </si>
  <si>
    <t xml:space="preserve">intent_edited</t>
  </si>
  <si>
    <t xml:space="preserve">UPGRADED P1 to P0 after the story review. This is a data-model decision, not a UI one - settle it at M0, not in Week 6.</t>
  </si>
  <si>
    <t xml:space="preserve">F-012</t>
  </si>
  <si>
    <t xml:space="preserve">Intent embedding generation</t>
  </si>
  <si>
    <t xml:space="preserve">Sends the Intent Line to a hosted embedding API and stores the vector against the Event.</t>
  </si>
  <si>
    <t xml:space="preserve">Makes semantic matching possible at all.</t>
  </si>
  <si>
    <t xml:space="preserve">F-010; embedding vendor</t>
  </si>
  <si>
    <t xml:space="preserve">Embedding generated on submit and on edit. Two providers configured behind one interface. Failure is retried and surfaced as a degraded state, never as a blank screen.</t>
  </si>
  <si>
    <t xml:space="preserve">Success; vendor error; retry; timeout</t>
  </si>
  <si>
    <t xml:space="preserve">embedding_generated</t>
  </si>
  <si>
    <t xml:space="preserve">Vendor-abstracted from day one so an outage on Event day is a config change.</t>
  </si>
  <si>
    <t xml:space="preserve">F-013</t>
  </si>
  <si>
    <t xml:space="preserve">Room-scoped vector search</t>
  </si>
  <si>
    <t xml:space="preserve">Similarity search over Intent embeddings, restricted to users currently Live in the same Live Room.</t>
  </si>
  <si>
    <t xml:space="preserve">Keeps the index small, the results relevant and the whole approach viable on a managed backend.</t>
  </si>
  <si>
    <t xml:space="preserve">F-012, F-027</t>
  </si>
  <si>
    <t xml:space="preserve">Returns candidates only from the current Live Room. p95 under 2s at 400 Live users.</t>
  </si>
  <si>
    <t xml:space="preserve">Success; no candidates; degraded</t>
  </si>
  <si>
    <t xml:space="preserve">match_search_run</t>
  </si>
  <si>
    <t xml:space="preserve">Never search across Events in the MVP. That is a Phase 2 capability with different privacy consequences.</t>
  </si>
  <si>
    <t xml:space="preserve">F-014</t>
  </si>
  <si>
    <t xml:space="preserve">Hard rules layer</t>
  </si>
  <si>
    <t xml:space="preserve">Deterministic filters after similarity: already connected, already shown, mutual exclusions, blocks, reciprocity, rate limits, and seniority sanity derived from role text and event type.</t>
  </si>
  <si>
    <t xml:space="preserve">Stops technically-similar but socially-wrong matches, which is the commonest way matching feels broken.</t>
  </si>
  <si>
    <t xml:space="preserve">F-013, F-003</t>
  </si>
  <si>
    <t xml:space="preserve">Each rule is individually testable and individually toggleable. A user is never shown the same person twice at one Event.</t>
  </si>
  <si>
    <t xml:space="preserve">Success; all filtered out</t>
  </si>
  <si>
    <t xml:space="preserve">match_rules_applied</t>
  </si>
  <si>
    <t xml:space="preserve">CHANGED: with the two structured selects removed (F-010), this layer now derives its filters from role text and event type. Confirm that is sufficient against the 50-pair eval set BEFORE Week 4.</t>
  </si>
  <si>
    <t xml:space="preserve">Three-match selection</t>
  </si>
  <si>
    <t xml:space="preserve">Selects exactly three Matches per Go Live. Not two, not ten.</t>
  </si>
  <si>
    <t xml:space="preserve">Three people worth crossing the room for, instead of six hundred names.</t>
  </si>
  <si>
    <t xml:space="preserve">F-013, F-014</t>
  </si>
  <si>
    <t xml:space="preserve">Three matches returned at room sizes 8, 50 and 400. Behaviour at fewer than 4 candidates is defined and honest.</t>
  </si>
  <si>
    <t xml:space="preserve">Default; fewer than three available; none available; generating</t>
  </si>
  <si>
    <t xml:space="preserve">match_served</t>
  </si>
  <si>
    <t xml:space="preserve">Three is a product decision. Do not make it configurable - a config option becomes an argument.</t>
  </si>
  <si>
    <t xml:space="preserve">F-016</t>
  </si>
  <si>
    <t xml:space="preserve">Match explanation generation</t>
  </si>
  <si>
    <t xml:space="preserve">One cached LLM call per pair producing a grounded sentence of 25 words or fewer.</t>
  </si>
  <si>
    <t xml:space="preserve">Converts a name into an approach. For an introverted user this IS the product.</t>
  </si>
  <si>
    <t xml:space="preserve">F-015; LLM vendor</t>
  </si>
  <si>
    <t xml:space="preserve">Every Explanation references only fields present in the two profiles. Generated once per pair and cached forever. Founder reviews 100 before Event day with zero unsupported entities.</t>
  </si>
  <si>
    <t xml:space="preserve">Success; generating; vendor error (falls back); rejected by validator</t>
  </si>
  <si>
    <t xml:space="preserve">explanation_generated</t>
  </si>
  <si>
    <t xml:space="preserve">Intent text is untrusted user input flowing into an LLM. Structure the prompt so injected instructions cannot change the output shape.</t>
  </si>
  <si>
    <t xml:space="preserve">F-017</t>
  </si>
  <si>
    <t xml:space="preserve">Explanation entity validator</t>
  </si>
  <si>
    <t xml:space="preserve">Rejects any generated Explanation containing a company, role or fact not present in the source profiles.</t>
  </si>
  <si>
    <t xml:space="preserve">Prevents a hallucinated detail being spoken aloud to a stranger.</t>
  </si>
  <si>
    <t xml:space="preserve">No Explanation containing an unsupported entity reaches a user. Rejections are logged and counted.</t>
  </si>
  <si>
    <t xml:space="preserve">Pass; reject (falls back to F-019)</t>
  </si>
  <si>
    <t xml:space="preserve">explanation_rejected</t>
  </si>
  <si>
    <t xml:space="preserve">This is a safety control, not a quality nicety. Treat a rejection reaching a user as a P1 incident.</t>
  </si>
  <si>
    <t xml:space="preserve">F-018</t>
  </si>
  <si>
    <t xml:space="preserve">Explanation cache</t>
  </si>
  <si>
    <t xml:space="preserve">Caches the Explanation per pair per Event and never regenerates it.</t>
  </si>
  <si>
    <t xml:space="preserve">Keeps latency and cost predictable, and keeps the wording stable if the user reopens the card.</t>
  </si>
  <si>
    <t xml:space="preserve">Same pair never triggers a second generation. Cost per Event stays in the tens of dollars.</t>
  </si>
  <si>
    <t xml:space="preserve">Hit; miss</t>
  </si>
  <si>
    <t xml:space="preserve">Also a consistency requirement: the Explanation the user read at 8pm must be the one in the Ledger in January.</t>
  </si>
  <si>
    <t xml:space="preserve">F-019</t>
  </si>
  <si>
    <t xml:space="preserve">Rule-based fallback explanation</t>
  </si>
  <si>
    <t xml:space="preserve">A deterministic sentence served behind a flag when the LLM fails or its output is rejected.</t>
  </si>
  <si>
    <t xml:space="preserve">The user never sees an empty or broken card.</t>
  </si>
  <si>
    <t xml:space="preserve">Reads as a normal Explanation, not as an error. Exercised at the dry run.</t>
  </si>
  <si>
    <t xml:space="preserve">Active; inactive</t>
  </si>
  <si>
    <t xml:space="preserve">explanation_fallback_served</t>
  </si>
  <si>
    <t xml:space="preserve">Must be indistinguishable in tone. If it reads like a fallback, users learn to distrust the good ones.</t>
  </si>
  <si>
    <t xml:space="preserve">F-020</t>
  </si>
  <si>
    <t xml:space="preserve">Match set refresh</t>
  </si>
  <si>
    <t xml:space="preserve">Show me three more</t>
  </si>
  <si>
    <t xml:space="preserve">Generates a new Match Set after the user has acted on all three, subject to hard rules and a rate limit.</t>
  </si>
  <si>
    <t xml:space="preserve">Rescues the user who has connected with all three and still has two hours of event left.</t>
  </si>
  <si>
    <t xml:space="preserve">Only available once all three are acted on. Never shows a previously shown person. Rate limited.</t>
  </si>
  <si>
    <t xml:space="preserve">Available; not yet available; exhausted; generating</t>
  </si>
  <si>
    <t xml:space="preserve">match_refresh_requested</t>
  </si>
  <si>
    <t xml:space="preserve">First item on the cut list if Week 8 is behind. Valuable but not load-bearing.</t>
  </si>
  <si>
    <t xml:space="preserve">E1 Presence &amp; Live Room</t>
  </si>
  <si>
    <t xml:space="preserve">Self-declared venue zone</t>
  </si>
  <si>
    <t xml:space="preserve">On Go Live, the user optionally picks a coarse zone from a list the operator configured for the venue - 'north bar', 'main hall', 'registration'. Shown on the Match Card BEFORE either party accepts.</t>
  </si>
  <si>
    <t xml:space="preserve">STORY-ALIGNED: 'Regional director, payments. Also live, near the north bar.' It is what turns a match into someone you can physically walk towards.</t>
  </si>
  <si>
    <t xml:space="preserve">F-027, F-070</t>
  </si>
  <si>
    <t xml:space="preserve">Zone is VOLUNTEERED by the user from a fixed list, never sensed or inferred. Skipping it is a first-class option and the Match Card renders correctly without it. Zone clears when the session ends.</t>
  </si>
  <si>
    <t xml:space="preserve">Not set; choosing; set; cleared on expiry</t>
  </si>
  <si>
    <t xml:space="preserve">zone_declared</t>
  </si>
  <si>
    <t xml:space="preserve">ADDED after the story review. Self-declared, not sensed - so no location is derived or stored, and the privacy invariant holds. A sensed zone shown pre-accept would be a change to the privacy perimeter and is explicitly rejected.</t>
  </si>
  <si>
    <t xml:space="preserve">F-025</t>
  </si>
  <si>
    <t xml:space="preserve">Venue QR entry</t>
  </si>
  <si>
    <t xml:space="preserve">Scan the Ol-ga code</t>
  </si>
  <si>
    <t xml:space="preserve">BACKUP PATH: scanning the printed venue QR creates a Venue Session. Also the primary path at co-working venues, where the story describes 'an Ol-ga sign by the coffee machine'.</t>
  </si>
  <si>
    <t xml:space="preserve">Works with no location permission at all, which makes it the fallback whenever geofence is denied or unavailable.</t>
  </si>
  <si>
    <t xml:space="preserve">F-070, F-072</t>
  </si>
  <si>
    <t xml:space="preserve">Two devices scan the same code and both appear Live. Reachable in one tap from the Live tab when geofence is denied or the user is out of range.</t>
  </si>
  <si>
    <t xml:space="preserve">Scanner default; camera denied; invalid code; expired event; success; no network</t>
  </si>
  <si>
    <t xml:space="preserve">room_entered (method=qr)</t>
  </si>
  <si>
    <t xml:space="preserve">DEMOTED from primary to backup after the story review - but still P0. It is the only path that works with location permission denied, and the ONLY path at a co-working sign.</t>
  </si>
  <si>
    <t xml:space="preserve">F-026</t>
  </si>
  <si>
    <t xml:space="preserve">Geofence room entry</t>
  </si>
  <si>
    <t xml:space="preserve">(system prompt, once)</t>
  </si>
  <si>
    <t xml:space="preserve">PRIMARY PATH: a single coarse location check, once, in the foreground on app open, placing the user in the Live Room without any scanning.</t>
  </si>
  <si>
    <t xml:space="preserve">STORY-ALIGNED: 'You open Ol-ga and tap Go Live.' No QR hunt, no camera. This is the story's actual entry experience.</t>
  </si>
  <si>
    <t xml:space="preserve">Opening the app inside the venue puts the user in the Live Room with no further action. Runs ONCE, foreground only, never in the background. Denial routes cleanly to the QR path.</t>
  </si>
  <si>
    <t xml:space="preserve">Permission requested; granted; denied (routes to QR); out of range; success</t>
  </si>
  <si>
    <t xml:space="preserve">room_entered (method=geofence)</t>
  </si>
  <si>
    <t xml:space="preserve">PROMOTED to primary after the story review. This is now the ONLY location call in the product and the permission prompt is on the critical acquisition path - word it carefully and ask it at the venue, not at sign-up.</t>
  </si>
  <si>
    <t xml:space="preserve">Go Live with availability window</t>
  </si>
  <si>
    <t xml:space="preserve">Explicit action making the user visible, with a user-chosen duration - the story's 'go live for the hour before my meeting'. Default one hour, or until the Event ends.</t>
  </si>
  <si>
    <t xml:space="preserve">Availability stays a deliberate, time-boxed choice. Nobody is left visible after they have stopped meaning it.</t>
  </si>
  <si>
    <t xml:space="preserve">F-025 or F-026</t>
  </si>
  <si>
    <t xml:space="preserve">Toggling Live triggers Match Set generation. The user picks or accepts a duration. Toggling off removes presence within 5 seconds.</t>
  </si>
  <si>
    <t xml:space="preserve">Offline; choosing duration; going live; live (with time remaining); expiring soon; expired; error</t>
  </si>
  <si>
    <t xml:space="preserve">went_live (with window_minutes), went_offline</t>
  </si>
  <si>
    <t xml:space="preserve">CHANGED after the story review: added the user-set window. Never make going Live automatic, even as an option - passive presence is a different product with different regulatory exposure.</t>
  </si>
  <si>
    <t xml:space="preserve">F-028</t>
  </si>
  <si>
    <t xml:space="preserve">Live count</t>
  </si>
  <si>
    <t xml:space="preserve">Shows how many people are currently Live in this room, updated in realtime.</t>
  </si>
  <si>
    <t xml:space="preserve">Sets honest expectations, and the number itself is a reason to go Live.</t>
  </si>
  <si>
    <t xml:space="preserve">F-032</t>
  </si>
  <si>
    <t xml:space="preserve">Updates within 5 seconds of a change. Shows the true number even when it is embarrassingly low.</t>
  </si>
  <si>
    <t xml:space="preserve">Default; low density; loading; stale (polling); offline</t>
  </si>
  <si>
    <t xml:space="preserve">Do not inflate or round up. A user lied to at 6 people will not come back at 60.</t>
  </si>
  <si>
    <t xml:space="preserve">F-029</t>
  </si>
  <si>
    <t xml:space="preserve">Session TTL and auto-expiry</t>
  </si>
  <si>
    <t xml:space="preserve">(you're no longer live)</t>
  </si>
  <si>
    <t xml:space="preserve">Venue Sessions expire automatically at Event end or after a set idle period.</t>
  </si>
  <si>
    <t xml:space="preserve">Nobody is left visible after they have gone home.</t>
  </si>
  <si>
    <t xml:space="preserve">Session expires reliably and the user is told it expired rather than silently disappearing.</t>
  </si>
  <si>
    <t xml:space="preserve">Live; expiring soon; expired</t>
  </si>
  <si>
    <t xml:space="preserve">session_expired</t>
  </si>
  <si>
    <t xml:space="preserve">Expiry must be communicated. A silent disappearance reads as a bug.</t>
  </si>
  <si>
    <t xml:space="preserve">F-030</t>
  </si>
  <si>
    <t xml:space="preserve">Rotating session identifiers</t>
  </si>
  <si>
    <t xml:space="preserve">Presence is keyed by a rotating, expiring, session-scoped token rather than a durable user id.</t>
  </si>
  <si>
    <t xml:space="preserve">Structurally prevents a durable presence trail from existing.</t>
  </si>
  <si>
    <t xml:space="preserve">No client-readable view ever exposes a durable user id for a Live user before Reveal. No lat/long column exists anywhere in the schema.</t>
  </si>
  <si>
    <t xml:space="preserve">Privacy invariant. Reviewed against the data model at M0, verified at M3.</t>
  </si>
  <si>
    <t xml:space="preserve">Live roster realtime channel</t>
  </si>
  <si>
    <t xml:space="preserve">Realtime channel maintaining who is Live, degrading invisibly to polling when the venue network is hostile.</t>
  </si>
  <si>
    <t xml:space="preserve">The room stays accurate on a saturated conference Wi-Fi.</t>
  </si>
  <si>
    <t xml:space="preserve">Degrades to polling with no visible change in behaviour on a throttled network. Verified at the dry run.</t>
  </si>
  <si>
    <t xml:space="preserve">Realtime; degraded (polling); disconnected; reconnecting</t>
  </si>
  <si>
    <t xml:space="preserve">realtime_degraded</t>
  </si>
  <si>
    <t xml:space="preserve">Build in Week 6, not in the war room. A saturated venue network finds every gap in the first hour.</t>
  </si>
  <si>
    <t xml:space="preserve">F-035</t>
  </si>
  <si>
    <t xml:space="preserve">E3 Connection</t>
  </si>
  <si>
    <t xml:space="preserve">Send connect request</t>
  </si>
  <si>
    <t xml:space="preserve">One tap sends a Connect Request to a Match. No message can be attached.</t>
  </si>
  <si>
    <t xml:space="preserve">Signalling interest costs nothing, so it happens repeatedly.</t>
  </si>
  <si>
    <t xml:space="preserve">F-015, F-058</t>
  </si>
  <si>
    <t xml:space="preserve">Request delivered and the sender sees a neutral 'sent' state that never resolves into a visible rejection.</t>
  </si>
  <si>
    <t xml:space="preserve">Idle; sending; sent; rate limited; expired; error</t>
  </si>
  <si>
    <t xml:space="preserve">request_sent</t>
  </si>
  <si>
    <t xml:space="preserve">The neutral sent state must be genuinely neutral. Anything that eventually implies a decline breaks the mechanic.</t>
  </si>
  <si>
    <t xml:space="preserve">F-036</t>
  </si>
  <si>
    <t xml:space="preserve">Accept and reveal</t>
  </si>
  <si>
    <t xml:space="preserve">On mutual accept, identity is revealed to both parties simultaneously.</t>
  </si>
  <si>
    <t xml:space="preserve">The payoff moment, and the point at which a meeting becomes possible.</t>
  </si>
  <si>
    <t xml:space="preserve">F-035, F-040</t>
  </si>
  <si>
    <t xml:space="preserve">Both sides see name, photo, role and company at the same moment. Neither can see them a moment earlier.</t>
  </si>
  <si>
    <t xml:space="preserve">Pending; accepting; revealed; expired; error</t>
  </si>
  <si>
    <t xml:space="preserve">request_accepted</t>
  </si>
  <si>
    <t xml:space="preserve">Reveal is the product's promise. Any leak before it is trust-ending, not bug-fixing.</t>
  </si>
  <si>
    <t xml:space="preserve">F-037</t>
  </si>
  <si>
    <t xml:space="preserve">Silent decline</t>
  </si>
  <si>
    <t xml:space="preserve">Declining or ignoring writes to a table the counterparty cannot read, produces no notification and no observable state change.</t>
  </si>
  <si>
    <t xml:space="preserve">Removes the social cost of being declined, which is what makes requesting repeatable.</t>
  </si>
  <si>
    <t xml:space="preserve">No notification, no state change, and no timing side channel reveals a decline. Verified by the adversarial test.</t>
  </si>
  <si>
    <t xml:space="preserve">Declined (invisible)</t>
  </si>
  <si>
    <t xml:space="preserve">request_declined (aggregate only)</t>
  </si>
  <si>
    <t xml:space="preserve">Do not add a 'pending expired' message that only appears on decline. That reintroduces the signal by the back door.</t>
  </si>
  <si>
    <t xml:space="preserve">F-038</t>
  </si>
  <si>
    <t xml:space="preserve">Request expiry</t>
  </si>
  <si>
    <t xml:space="preserve">(request expires)</t>
  </si>
  <si>
    <t xml:space="preserve">Requests expire at Event end, identically whether declined or simply unanswered.</t>
  </si>
  <si>
    <t xml:space="preserve">Keeps the Live tab clean, and makes expiry uninformative about the other person's choice.</t>
  </si>
  <si>
    <t xml:space="preserve">Expiry timing and messaging are identical for declined and unanswered requests.</t>
  </si>
  <si>
    <t xml:space="preserve">Active; expired</t>
  </si>
  <si>
    <t xml:space="preserve">request_expired</t>
  </si>
  <si>
    <t xml:space="preserve">Deliberately uninformative. This is a privacy requirement disguised as housekeeping.</t>
  </si>
  <si>
    <t xml:space="preserve">F-039</t>
  </si>
  <si>
    <t xml:space="preserve">Request rate limit</t>
  </si>
  <si>
    <t xml:space="preserve">(you've sent a lot)</t>
  </si>
  <si>
    <t xml:space="preserve">Caps how many Connect Requests one user can send per Event.</t>
  </si>
  <si>
    <t xml:space="preserve">Prevents mass-requesting, which would destroy accept rates for everyone.</t>
  </si>
  <si>
    <t xml:space="preserve">Limit enforced server-side. Message is friendly and does not shame the user.</t>
  </si>
  <si>
    <t xml:space="preserve">Under limit; at limit</t>
  </si>
  <si>
    <t xml:space="preserve">request_rate_limited</t>
  </si>
  <si>
    <t xml:space="preserve">Server-side only. A client-side limit is not a limit.</t>
  </si>
  <si>
    <t xml:space="preserve">F-040</t>
  </si>
  <si>
    <t xml:space="preserve">Database-layer identity gate</t>
  </si>
  <si>
    <t xml:space="preserve">Identity resolves through a join that succeeds only when two accepted rows exist, enforced with row-level security.</t>
  </si>
  <si>
    <t xml:space="preserve">The privacy promise is structural rather than a filter someone can forget to apply.</t>
  </si>
  <si>
    <t xml:space="preserve">An adversarial test written specifically to resolve a counterparty's identity before mutual accept, through every available path, fails to do so. Runs in CI permanently.</t>
  </si>
  <si>
    <t xml:space="preserve">Highest-severity control in the product. API-layer filtering is not acceptable here.</t>
  </si>
  <si>
    <t xml:space="preserve">E4 Ledger</t>
  </si>
  <si>
    <t xml:space="preserve">Ledger as home screen</t>
  </si>
  <si>
    <t xml:space="preserve">Every Connection ever made, across every Event, is the first screen on open.</t>
  </si>
  <si>
    <t xml:space="preserve">The reason to open the app on a Tuesday, away from any venue.</t>
  </si>
  <si>
    <t xml:space="preserve">JB</t>
  </si>
  <si>
    <t xml:space="preserve">Ledger is the first screen after login, always, including when empty. Renders offline from cache.</t>
  </si>
  <si>
    <t xml:space="preserve">Empty (never connected); populated; loading; offline (cached); error</t>
  </si>
  <si>
    <t xml:space="preserve">ledger_opened (with off_event flag)</t>
  </si>
  <si>
    <t xml:space="preserve">This is the entire off-event retention mechanic. Not cuttable under any circumstances.</t>
  </si>
  <si>
    <t xml:space="preserve">Connection detail</t>
  </si>
  <si>
    <t xml:space="preserve">(connection view)</t>
  </si>
  <si>
    <t xml:space="preserve">Shows the person, where and when you met, THEIR ORIGINAL INTENT IN THEIR OWN WORDS, and the Explanation that first put you together.</t>
  </si>
  <si>
    <t xml:space="preserve">STORY-ALIGNED: 'what each of them was looking for in their own words'. The raw sentence is what makes the ledger a memory, not a contact card.</t>
  </si>
  <si>
    <t xml:space="preserve">Every entry shows the counterparty's verbatim Intent Line AND the generated Explanation, plus the Event name and date. Both stored at connection time and never regenerated.</t>
  </si>
  <si>
    <t xml:space="preserve">Default; loading; offline; deleted user</t>
  </si>
  <si>
    <t xml:space="preserve">connection_viewed</t>
  </si>
  <si>
    <t xml:space="preserve">CHANGED after the story review: previously stored only the generated Explanation. Storing the raw Intent Line is a schema change - make it at M0, not after the Event.</t>
  </si>
  <si>
    <t xml:space="preserve">Follow-up decay with elapsed time</t>
  </si>
  <si>
    <t xml:space="preserve">(gone quiet)</t>
  </si>
  <si>
    <t xml:space="preserve">Names which connections have gone quiet AND how long it has been - the story's 'two have gone quiet and Ol-ga tells you which ones and how long it's been'.</t>
  </si>
  <si>
    <t xml:space="preserve">Vague fading is easy to ignore. 'Nine days' is a specific thing you can act on.</t>
  </si>
  <si>
    <t xml:space="preserve">F-045, F-050</t>
  </si>
  <si>
    <t xml:space="preserve">Elapsed time visible without interaction. Quiet connections are surfaced as a named group, not only as a per-row treatment.</t>
  </si>
  <si>
    <t xml:space="preserve">Fresh; cooling (with days); gone quiet (with days); closed out</t>
  </si>
  <si>
    <t xml:space="preserve">CHANGED after the story review: was a fading marker, now shows elapsed time. GUARDRAIL: watch notification opt-out and uninstall rate. If they rise, this crossed from useful to nagging.</t>
  </si>
  <si>
    <t xml:space="preserve">F-048</t>
  </si>
  <si>
    <t xml:space="preserve">Offline ledger cache</t>
  </si>
  <si>
    <t xml:space="preserve">The Ledger reads from local cache when there is no network.</t>
  </si>
  <si>
    <t xml:space="preserve">Works on a saturated venue network and on a plane.</t>
  </si>
  <si>
    <t xml:space="preserve">M4</t>
  </si>
  <si>
    <t xml:space="preserve">Full Ledger renders with the network disabled. Writes queue and reconcile on reconnect.</t>
  </si>
  <si>
    <t xml:space="preserve">Cached; syncing; sync failed</t>
  </si>
  <si>
    <t xml:space="preserve">Paired with the write retry queue (F-094). Neither is useful alone.</t>
  </si>
  <si>
    <t xml:space="preserve">F-049</t>
  </si>
  <si>
    <t xml:space="preserve">Cross-event ledger continuity</t>
  </si>
  <si>
    <t xml:space="preserve">Connections from multiple Events appear in one coherent Ledger, grouped by Event.</t>
  </si>
  <si>
    <t xml:space="preserve">A returning user sees an accumulating asset, not a reset.</t>
  </si>
  <si>
    <t xml:space="preserve">M5</t>
  </si>
  <si>
    <t xml:space="preserve">A user who attended two Events sees both sets, correctly attributed.</t>
  </si>
  <si>
    <t xml:space="preserve">Single event; multiple events</t>
  </si>
  <si>
    <t xml:space="preserve">First real test of the cross-event graph. Only exercisable from Event 2 onward.</t>
  </si>
  <si>
    <t xml:space="preserve">Commitment note</t>
  </si>
  <si>
    <t xml:space="preserve">A short line on a Connection recording what you promised - the story's 'one line you'd forgotten - you told her you'd send the Indonesia deck'. Captured at the outcome prompt and editable from the Ledger.</t>
  </si>
  <si>
    <t xml:space="preserve">STORY-ALIGNED, and it is the single most concrete reason to open the app on a Friday morning. 'Memory' is the third of the story's three pillars and this is the sharpest expression of it.</t>
  </si>
  <si>
    <t xml:space="preserve">F-045, F-052</t>
  </si>
  <si>
    <t xml:space="preserve">Addable in one tap from the outcome sequence and editable from Connection detail. Feeds the decay indicator - an open commitment ages faster than a connection with none.</t>
  </si>
  <si>
    <t xml:space="preserve">None; adding; saved; done (struck through); editing</t>
  </si>
  <si>
    <t xml:space="preserve">commitment_added, commitment_completed</t>
  </si>
  <si>
    <t xml:space="preserve">ADDED after the story review. It was entirely missing from the first register, and it is the clearest single expression of the story's Memory pillar.</t>
  </si>
  <si>
    <t xml:space="preserve">E5 Outcome</t>
  </si>
  <si>
    <t xml:space="preserve">Batched post-event outcome prompt</t>
  </si>
  <si>
    <t xml:space="preserve">You connected with three people tonight. Did you actually meet?</t>
  </si>
  <si>
    <t xml:space="preserve">STORY-ALIGNED: ONE notification covering every connection from the Event, answered as a short sequence - the story's 'three taps'. Sent to both sides within 3 hours of Event end.</t>
  </si>
  <si>
    <t xml:space="preserve">One prompt for the whole evening is materially easier to complete than three separate ones, and completion rate IS gate metric 2.</t>
  </si>
  <si>
    <t xml:space="preserve">F-036, F-061</t>
  </si>
  <si>
    <t xml:space="preserve">One prompt per user per Event, listing every accepted connection. Each answered in a single tap, in sequence. Each side answers independently.</t>
  </si>
  <si>
    <t xml:space="preserve">Unanswered; in sequence; partially answered; complete; expired</t>
  </si>
  <si>
    <t xml:space="preserve">outcome_prompt_sent, outcome_logged</t>
  </si>
  <si>
    <t xml:space="preserve">CHANGED after the story review: was per-connection, now batched per Event. GATE METRIC 2. Not cuttable - every contract team will propose deferring it because it lands after the Event.</t>
  </si>
  <si>
    <t xml:space="preserve">F-053</t>
  </si>
  <si>
    <t xml:space="preserve">72-hour second nudge</t>
  </si>
  <si>
    <t xml:space="preserve">Still worth a minute</t>
  </si>
  <si>
    <t xml:space="preserve">One reminder to anyone who has not answered the Outcome Prompt after 72 hours.</t>
  </si>
  <si>
    <t xml:space="preserve">Roughly the difference between a usable and an unusable logging rate.</t>
  </si>
  <si>
    <t xml:space="preserve">Sent exactly once, only to non-responders, and never to someone who answered.</t>
  </si>
  <si>
    <t xml:space="preserve">Sent; suppressed</t>
  </si>
  <si>
    <t xml:space="preserve">outcome_nudge_sent</t>
  </si>
  <si>
    <t xml:space="preserve">One nudge only. A second reminder reads as harassment and drives opt-out.</t>
  </si>
  <si>
    <t xml:space="preserve">F-054</t>
  </si>
  <si>
    <t xml:space="preserve">Outcome label storage and agreement flag</t>
  </si>
  <si>
    <t xml:space="preserve">Stores each side's answer on the Encounter with an agreement flag when both said yes.</t>
  </si>
  <si>
    <t xml:space="preserve">The raw material of the Encounter Graph.</t>
  </si>
  <si>
    <t xml:space="preserve">Both answers stored independently. Disagreements recorded and never silently counted as confirmations.</t>
  </si>
  <si>
    <t xml:space="preserve">outcome_agreement</t>
  </si>
  <si>
    <t xml:space="preserve">A one-sided yes is not a Confirmed Meeting. Do not let reporting blur this.</t>
  </si>
  <si>
    <t xml:space="preserve">F-055</t>
  </si>
  <si>
    <t xml:space="preserve">In-app outcome fallback</t>
  </si>
  <si>
    <t xml:space="preserve">Shows the Outcome Prompt inside the app for users who denied push permission.</t>
  </si>
  <si>
    <t xml:space="preserve">Protects gate metric 2 from the push grant rate.</t>
  </si>
  <si>
    <t xml:space="preserve">Users who denied push still see and can answer the prompt on next open.</t>
  </si>
  <si>
    <t xml:space="preserve">Shown; answered; dismissed</t>
  </si>
  <si>
    <t xml:space="preserve">outcome_logged (channel=in_app)</t>
  </si>
  <si>
    <t xml:space="preserve">Without this, gate metric 2 becomes a measurement of push permissions rather than of behaviour.</t>
  </si>
  <si>
    <t xml:space="preserve">Usefulness rating</t>
  </si>
  <si>
    <t xml:space="preserve">A second question asked only for connections answered 'yes' - the story's 'For each yes: was it useful? Two taps.'</t>
  </si>
  <si>
    <t xml:space="preserve">STORY-ALIGNED, and it is what makes 'nine of fourteen were useful' possible. A meeting that happened and a meeting that mattered are different facts, and only the second one is worth anything to the Encounter Graph.</t>
  </si>
  <si>
    <t xml:space="preserve">F-052, F-054</t>
  </si>
  <si>
    <t xml:space="preserve">Asked only after a 'yes'. One tap. Stored on the Encounter as a distinct label from the met/not-met answer. Never shown to the other party.</t>
  </si>
  <si>
    <t xml:space="preserve">Not asked; asked; answered; skipped</t>
  </si>
  <si>
    <t xml:space="preserve">outcome_usefulness_logged</t>
  </si>
  <si>
    <t xml:space="preserve">ADDED after the story review. Without it the Encounter Graph records that meetings happened but not that they were worth anything - which is most of the asset's claimed value.</t>
  </si>
  <si>
    <t xml:space="preserve">F-058</t>
  </si>
  <si>
    <t xml:space="preserve">E14 Notifications</t>
  </si>
  <si>
    <t xml:space="preserve">Match ready push</t>
  </si>
  <si>
    <t xml:space="preserve">Your three matches are ready</t>
  </si>
  <si>
    <t xml:space="preserve">Sent when a Match Set has been generated after Go Live.</t>
  </si>
  <si>
    <t xml:space="preserve">Brings the user back to the app at the moment the value exists.</t>
  </si>
  <si>
    <t xml:space="preserve">Delivered on both iOS and Android at above 95%. Deep links to the Live tab.</t>
  </si>
  <si>
    <t xml:space="preserve">Sent; delivered; failed; opted out</t>
  </si>
  <si>
    <t xml:space="preserve">push_sent, push_opened</t>
  </si>
  <si>
    <t xml:space="preserve">Only sent when the user is Live. Never sent to someone who has gone offline.</t>
  </si>
  <si>
    <t xml:space="preserve">F-059</t>
  </si>
  <si>
    <t xml:space="preserve">Request received push</t>
  </si>
  <si>
    <t xml:space="preserve">Someone wants to connect</t>
  </si>
  <si>
    <t xml:space="preserve">Sent to the recipient of a Connect Request.</t>
  </si>
  <si>
    <t xml:space="preserve">Requests are time-sensitive - the sender is in the room right now.</t>
  </si>
  <si>
    <t xml:space="preserve">Delivered within seconds. Deep links straight to the accept decision.</t>
  </si>
  <si>
    <t xml:space="preserve">Latency matters more here than anywhere else. A request seen after the event is worthless.</t>
  </si>
  <si>
    <t xml:space="preserve">F-060</t>
  </si>
  <si>
    <t xml:space="preserve">Request accepted push</t>
  </si>
  <si>
    <t xml:space="preserve">You're connected</t>
  </si>
  <si>
    <t xml:space="preserve">Sent to the original sender on mutual accept.</t>
  </si>
  <si>
    <t xml:space="preserve">The payoff signal, and the cue to go and find the person.</t>
  </si>
  <si>
    <t xml:space="preserve">Delivered within seconds to the sender only. Never sent on decline.</t>
  </si>
  <si>
    <t xml:space="preserve">Never send anything on decline. This is the same invariant as F-037.</t>
  </si>
  <si>
    <t xml:space="preserve">F-061</t>
  </si>
  <si>
    <t xml:space="preserve">Outcome prompt push</t>
  </si>
  <si>
    <t xml:space="preserve">Carries the Outcome Prompt to both sides after Event end.</t>
  </si>
  <si>
    <t xml:space="preserve">Gate metric 2 depends on it arriving and being answerable in one tap.</t>
  </si>
  <si>
    <t xml:space="preserve">Answerable directly from the notification where the platform allows it; otherwise one tap to a single-question screen.</t>
  </si>
  <si>
    <t xml:space="preserve">push_sent, outcome_logged</t>
  </si>
  <si>
    <t xml:space="preserve">Test on both platforms. A prompt that requires three taps will not reach 30%.</t>
  </si>
  <si>
    <t xml:space="preserve">F-062</t>
  </si>
  <si>
    <t xml:space="preserve">Notification preferences</t>
  </si>
  <si>
    <t xml:space="preserve">Per-category on/off controls.</t>
  </si>
  <si>
    <t xml:space="preserve">Keeps a user who is tired of one notification type from turning off all of them.</t>
  </si>
  <si>
    <t xml:space="preserve">Each category can be disabled independently and the setting is respected server-side.</t>
  </si>
  <si>
    <t xml:space="preserve">Default; all off; partial</t>
  </si>
  <si>
    <t xml:space="preserve">notification_pref_changed</t>
  </si>
  <si>
    <t xml:space="preserve">Directly protects the opt-out guardrail. Worth keeping even if behind.</t>
  </si>
  <si>
    <t xml:space="preserve">F-065</t>
  </si>
  <si>
    <t xml:space="preserve">E13 Trust &amp; Safety</t>
  </si>
  <si>
    <t xml:space="preserve">Report a user</t>
  </si>
  <si>
    <t xml:space="preserve">Report</t>
  </si>
  <si>
    <t xml:space="preserve">Reports a user from a Match Card or Connection, with a reason.</t>
  </si>
  <si>
    <t xml:space="preserve">One incident at a launch Event would end the Organiser relationship.</t>
  </si>
  <si>
    <t xml:space="preserve">F-015, F-045</t>
  </si>
  <si>
    <t xml:space="preserve">Report reaches the moderation queue immediately and the reporter gets clear acknowledgement.</t>
  </si>
  <si>
    <t xml:space="preserve">Default; submitting; submitted; failed</t>
  </si>
  <si>
    <t xml:space="preserve">user_reported</t>
  </si>
  <si>
    <t xml:space="preserve">Reachable from both the Match Card and the Connection. Do not bury it.</t>
  </si>
  <si>
    <t xml:space="preserve">F-066</t>
  </si>
  <si>
    <t xml:space="preserve">Block a user</t>
  </si>
  <si>
    <t xml:space="preserve">Block</t>
  </si>
  <si>
    <t xml:space="preserve">Blocks a user, permanently excluding them from each other's Match Sets.</t>
  </si>
  <si>
    <t xml:space="preserve">Gives a user immediate control without needing your team.</t>
  </si>
  <si>
    <t xml:space="preserve">Blocked pair is excluded by the hard rules layer at every future Event. The block is invisible to the blocked party.</t>
  </si>
  <si>
    <t xml:space="preserve">Default; blocking; blocked</t>
  </si>
  <si>
    <t xml:space="preserve">user_blocked</t>
  </si>
  <si>
    <t xml:space="preserve">Feeds F-014 as a permanent mutual exclusion. Must survive across Events.</t>
  </si>
  <si>
    <t xml:space="preserve">F-067</t>
  </si>
  <si>
    <t xml:space="preserve">Moderation queue</t>
  </si>
  <si>
    <t xml:space="preserve">(admin only)</t>
  </si>
  <si>
    <t xml:space="preserve">Internal queue of reports with the ability to suspend an account.</t>
  </si>
  <si>
    <t xml:space="preserve">Lets one operator handle an incident at 9pm on Event night.</t>
  </si>
  <si>
    <t xml:space="preserve">A non-developer can review a report and suspend an account without a deploy.</t>
  </si>
  <si>
    <t xml:space="preserve">Empty; pending; actioned</t>
  </si>
  <si>
    <t xml:space="preserve">Name the human who owns this before Event day. Nobody should be deciding this at 9pm.</t>
  </si>
  <si>
    <t xml:space="preserve">F-070</t>
  </si>
  <si>
    <t xml:space="preserve">E9 Event Operations</t>
  </si>
  <si>
    <t xml:space="preserve">Create event</t>
  </si>
  <si>
    <t xml:space="preserve">Creates an Event with venue, window and configuration.</t>
  </si>
  <si>
    <t xml:space="preserve">One operator can stand up an Event in minutes.</t>
  </si>
  <si>
    <t xml:space="preserve">Auth roles</t>
  </si>
  <si>
    <t xml:space="preserve">A non-developer creates a working Event end to end without engineering help.</t>
  </si>
  <si>
    <t xml:space="preserve">Default; saving; saved; validation error</t>
  </si>
  <si>
    <t xml:space="preserve">Deliberately internal. A self-serve Organiser console is Phase 2 and would cost 6-8 weeks.</t>
  </si>
  <si>
    <t xml:space="preserve">F-071</t>
  </si>
  <si>
    <t xml:space="preserve">Seed event / attendee list</t>
  </si>
  <si>
    <t xml:space="preserve">Uploads or pastes an expected attendee list for an Event.</t>
  </si>
  <si>
    <t xml:space="preserve">Supports the confirmation-email flow and lets you measure live rate against real check-in numbers.</t>
  </si>
  <si>
    <t xml:space="preserve">List uploads, validates and is queryable. Bad rows are reported rather than silently dropped.</t>
  </si>
  <si>
    <t xml:space="preserve">Empty; uploading; uploaded; partial failure</t>
  </si>
  <si>
    <t xml:space="preserve">Needed for the live-rate denominator. Without it, the headline metric has no denominator.</t>
  </si>
  <si>
    <t xml:space="preserve">F-072</t>
  </si>
  <si>
    <t xml:space="preserve">Generate venue QR</t>
  </si>
  <si>
    <t xml:space="preserve">Produces the printable QR carrying the Event secret.</t>
  </si>
  <si>
    <t xml:space="preserve">The physical entry point to the Live Room.</t>
  </si>
  <si>
    <t xml:space="preserve">Generated QR scans correctly from print at badge-pickup distance and lighting.</t>
  </si>
  <si>
    <t xml:space="preserve">Default; regenerated</t>
  </si>
  <si>
    <t xml:space="preserve">Test the printed artefact, not the screen. Print size and matte laminate both matter.</t>
  </si>
  <si>
    <t xml:space="preserve">F-073</t>
  </si>
  <si>
    <t xml:space="preserve">Live monitoring view</t>
  </si>
  <si>
    <t xml:space="preserve">Realtime operational view: live count, match latency, error rate, push delivery.</t>
  </si>
  <si>
    <t xml:space="preserve">The war room's single screen on Event day.</t>
  </si>
  <si>
    <t xml:space="preserve">F-078</t>
  </si>
  <si>
    <t xml:space="preserve">Renders live during the dry run and is usable on a phone.</t>
  </si>
  <si>
    <t xml:space="preserve">Live; stale; disconnected</t>
  </si>
  <si>
    <t xml:space="preserve">Must work on a phone. The person watching it will be standing in a hall.</t>
  </si>
  <si>
    <t xml:space="preserve">F-074</t>
  </si>
  <si>
    <t xml:space="preserve">Force-expire session</t>
  </si>
  <si>
    <t xml:space="preserve">Lets an operator end one user's Venue Session immediately.</t>
  </si>
  <si>
    <t xml:space="preserve">Incident response without a deploy.</t>
  </si>
  <si>
    <t xml:space="preserve">Operator ends a session and presence disappears within 5 seconds.</t>
  </si>
  <si>
    <t xml:space="preserve">Default; confirming; done</t>
  </si>
  <si>
    <t xml:space="preserve">Pairs with the moderation queue. Suspension without presence removal is not enough.</t>
  </si>
  <si>
    <t xml:space="preserve">F-075</t>
  </si>
  <si>
    <t xml:space="preserve">Kill switches</t>
  </si>
  <si>
    <t xml:space="preserve">Independent server-side switches for matching, explanations, push and the outcome prompt.</t>
  </si>
  <si>
    <t xml:space="preserve">Turns an Event-day incident into a flag flip instead of a store submission.</t>
  </si>
  <si>
    <t xml:space="preserve">F-100</t>
  </si>
  <si>
    <t xml:space="preserve">Each switch takes effect within one minute, from a phone, and every one is exercised at the dry run.</t>
  </si>
  <si>
    <t xml:space="preserve">On; off</t>
  </si>
  <si>
    <t xml:space="preserve">feature_flag_changed</t>
  </si>
  <si>
    <t xml:space="preserve">An untested kill switch is a rumour. Exercise all four at the dry run.</t>
  </si>
  <si>
    <t xml:space="preserve">E7 Instrumentation</t>
  </si>
  <si>
    <t xml:space="preserve">Frozen event taxonomy</t>
  </si>
  <si>
    <t xml:space="preserve">The full analytics event schema, signed off in Week 1 and wired before the first feature screen.</t>
  </si>
  <si>
    <t xml:space="preserve">Without it, six months of work produces an opinion instead of a number.</t>
  </si>
  <si>
    <t xml:space="preserve">M0</t>
  </si>
  <si>
    <t xml:space="preserve">Signed by founder and senior developer at M0. Every event fires once, with correct properties, verified in staging before its screen ships.</t>
  </si>
  <si>
    <t xml:space="preserve">(all)</t>
  </si>
  <si>
    <t xml:space="preserve">M0 payment is gated on this deliberately. Do not start feature work without it.</t>
  </si>
  <si>
    <t xml:space="preserve">F-079</t>
  </si>
  <si>
    <t xml:space="preserve">Server-side off-event flag with CI guard</t>
  </si>
  <si>
    <t xml:space="preserve">Computes whether a session is Off-Event using a definition fixed on day one, protected by a test that fails if the definition changes.</t>
  </si>
  <si>
    <t xml:space="preserve">Makes gate metric 1 defensible against the accusation of metric-shopping.</t>
  </si>
  <si>
    <t xml:space="preserve">Definition implemented server-side. A CI test fails if it is edited. Both are in place before the first screen ships.</t>
  </si>
  <si>
    <t xml:space="preserve">The test exists so that nobody - including you, in December, looking at a disappointing number - can quietly widen the window.</t>
  </si>
  <si>
    <t xml:space="preserve">F-080</t>
  </si>
  <si>
    <t xml:space="preserve">Funnel dashboard</t>
  </si>
  <si>
    <t xml:space="preserve">(internal)</t>
  </si>
  <si>
    <t xml:space="preserve">Install to Confirmed Meeting funnel, filterable by install_source and Event.</t>
  </si>
  <si>
    <t xml:space="preserve">Shows which step is losing people, which is what Phase 6 scope is decided from.</t>
  </si>
  <si>
    <t xml:space="preserve">Renders every step from staging data before the Event.</t>
  </si>
  <si>
    <t xml:space="preserve">Loading; populated; no data</t>
  </si>
  <si>
    <t xml:space="preserve">Build it against seeded data. You must know it works before you need it.</t>
  </si>
  <si>
    <t xml:space="preserve">F-081</t>
  </si>
  <si>
    <t xml:space="preserve">Cohort retention dashboard</t>
  </si>
  <si>
    <t xml:space="preserve">Cohort curves for Off-Event retention, by Event.</t>
  </si>
  <si>
    <t xml:space="preserve">Produces gate metric 1.</t>
  </si>
  <si>
    <t xml:space="preserve">Renders a seeded cohort curve before the Event. Off-Event filter is applied by default and cannot be turned off in the reported view.</t>
  </si>
  <si>
    <t xml:space="preserve">Loading; populated; insufficient data</t>
  </si>
  <si>
    <t xml:space="preserve">Make the Off-Event filter non-optional in the reported view. Convenience here becomes dishonesty later.</t>
  </si>
  <si>
    <t xml:space="preserve">F-082</t>
  </si>
  <si>
    <t xml:space="preserve">Latency histogram</t>
  </si>
  <si>
    <t xml:space="preserve">Records the distribution of Go Live to three-cards-rendered latency.</t>
  </si>
  <si>
    <t xml:space="preserve">Cannot be reconstructed after the fact, and it is the number that decides whether to shrink the candidate pool on the day.</t>
  </si>
  <si>
    <t xml:space="preserve">p95 visible and alerting above 4s.</t>
  </si>
  <si>
    <t xml:space="preserve">match_served (latency property)</t>
  </si>
  <si>
    <t xml:space="preserve">Ships early precisely because it is unrecoverable later.</t>
  </si>
  <si>
    <t xml:space="preserve">F-083</t>
  </si>
  <si>
    <t xml:space="preserve">install_source attribution</t>
  </si>
  <si>
    <t xml:space="preserve">Records how every install arrived: ticket email, badge QR, table QR, stage, or organic.</t>
  </si>
  <si>
    <t xml:space="preserve">The only way to know whether the cold-start machine worked.</t>
  </si>
  <si>
    <t xml:space="preserve">F-002, F-025</t>
  </si>
  <si>
    <t xml:space="preserve">Every install carries a source. Unknown is a distinct, counted value rather than a silent default.</t>
  </si>
  <si>
    <t xml:space="preserve">install</t>
  </si>
  <si>
    <t xml:space="preserve">Cannot be reconstructed after the Event. If this is missed, the acquisition question is unanswerable forever.</t>
  </si>
  <si>
    <t xml:space="preserve">F-086</t>
  </si>
  <si>
    <t xml:space="preserve">E8 Privacy &amp; Compliance</t>
  </si>
  <si>
    <t xml:space="preserve">Consent capture at sign-up</t>
  </si>
  <si>
    <t xml:space="preserve">(consent screen)</t>
  </si>
  <si>
    <t xml:space="preserve">Explicit consent for data processing, worded by counsel, recorded with a timestamp and version.</t>
  </si>
  <si>
    <t xml:space="preserve">PDPA requirement, and the foundation of the regulatory-moat position.</t>
  </si>
  <si>
    <t xml:space="preserve">Counsel draft</t>
  </si>
  <si>
    <t xml:space="preserve">Consent recorded with version and timestamp. Copy reviewed by Malaysian counsel before launch.</t>
  </si>
  <si>
    <t xml:space="preserve">Default; declined; accepted</t>
  </si>
  <si>
    <t xml:space="preserve">consent_recorded</t>
  </si>
  <si>
    <t xml:space="preserve">Structure the consent record to be compatible with India's Consent Manager API now. Retrofitting it later is expensive.</t>
  </si>
  <si>
    <t xml:space="preserve">F-087</t>
  </si>
  <si>
    <t xml:space="preserve">Privacy notice</t>
  </si>
  <si>
    <t xml:space="preserve">Privacy</t>
  </si>
  <si>
    <t xml:space="preserve">In-app privacy notice covering every category of data collected.</t>
  </si>
  <si>
    <t xml:space="preserve">Launch gate under the amended PDPA.</t>
  </si>
  <si>
    <t xml:space="preserve">Counsel sign-off by 20 Nov. Reachable in two taps from any screen.</t>
  </si>
  <si>
    <t xml:space="preserve">Default</t>
  </si>
  <si>
    <t xml:space="preserve">privacy_notice_viewed</t>
  </si>
  <si>
    <t xml:space="preserve">Launch gate. The Event does not proceed without it.</t>
  </si>
  <si>
    <t xml:space="preserve">F-088</t>
  </si>
  <si>
    <t xml:space="preserve">Retention and deletion schedule</t>
  </si>
  <si>
    <t xml:space="preserve">Scheduled job enforcing the documented retention periods, including presence-row TTL expiry.</t>
  </si>
  <si>
    <t xml:space="preserve">A documented schedule that does not run is worse than none.</t>
  </si>
  <si>
    <t xml:space="preserve">Job runs on schedule and its execution is verified, not assumed. Re-verified in Phase 6.</t>
  </si>
  <si>
    <t xml:space="preserve">Verify by observing rows actually disappear. A cron entry is not evidence.</t>
  </si>
  <si>
    <t xml:space="preserve">F-089</t>
  </si>
  <si>
    <t xml:space="preserve">DSAR path</t>
  </si>
  <si>
    <t xml:space="preserve">Contact us about my data</t>
  </si>
  <si>
    <t xml:space="preserve">A documented route for a data subject access request, with a named owner and a response window.</t>
  </si>
  <si>
    <t xml:space="preserve">Statutory obligation, and it needs to exist before it is needed.</t>
  </si>
  <si>
    <t xml:space="preserve">F</t>
  </si>
  <si>
    <t xml:space="preserve">Named owner, documented window, and one rehearsed request handled end to end.</t>
  </si>
  <si>
    <t xml:space="preserve">Rehearse one before the Event. The first real one should not be the first one.</t>
  </si>
  <si>
    <t xml:space="preserve">F-090</t>
  </si>
  <si>
    <t xml:space="preserve">Prompt-injection handling on intent text</t>
  </si>
  <si>
    <t xml:space="preserve">Treats the Intent Line as untrusted input to the LLM call and constrains the output shape structurally.</t>
  </si>
  <si>
    <t xml:space="preserve">Prevents a user manipulating what another user is shown about them.</t>
  </si>
  <si>
    <t xml:space="preserve">Injected instructions in the Intent Line cannot change the Explanation's shape or content beyond the grounded fields. Tested with adversarial intents.</t>
  </si>
  <si>
    <t xml:space="preserve">Write the adversarial intents yourself. This is the sort of thing an attendee tries for fun.</t>
  </si>
  <si>
    <t xml:space="preserve">F-093</t>
  </si>
  <si>
    <t xml:space="preserve">E11 Resilience</t>
  </si>
  <si>
    <t xml:space="preserve">Realtime to polling degradation</t>
  </si>
  <si>
    <t xml:space="preserve">Falls back from realtime to polling automatically on a hostile network, with no visible change.</t>
  </si>
  <si>
    <t xml:space="preserve">A saturated conference network finds every gap within the first hour.</t>
  </si>
  <si>
    <t xml:space="preserve">Degrades invisibly on a throttled network. Verified at the dry run under deliberate throttling.</t>
  </si>
  <si>
    <t xml:space="preserve">Realtime; polling; disconnected</t>
  </si>
  <si>
    <t xml:space="preserve">Build in Week 6, harden in Week 10. Do not discover this at the venue.</t>
  </si>
  <si>
    <t xml:space="preserve">F-094</t>
  </si>
  <si>
    <t xml:space="preserve">Write retry queue</t>
  </si>
  <si>
    <t xml:space="preserve">Every write goes through a queue that retries on failure and reconciles on reconnect.</t>
  </si>
  <si>
    <t xml:space="preserve">No user action is silently lost on a bad network.</t>
  </si>
  <si>
    <t xml:space="preserve">A request sent with the network off is delivered on reconnect, exactly once.</t>
  </si>
  <si>
    <t xml:space="preserve">Queued; retrying; delivered; failed permanently</t>
  </si>
  <si>
    <t xml:space="preserve">write_retry</t>
  </si>
  <si>
    <t xml:space="preserve">Exactly-once matters here. A duplicated Connect Request is worse than a lost one.</t>
  </si>
  <si>
    <t xml:space="preserve">F-095</t>
  </si>
  <si>
    <t xml:space="preserve">Crash reporting</t>
  </si>
  <si>
    <t xml:space="preserve">Crash and error reporting wired from Week 1.</t>
  </si>
  <si>
    <t xml:space="preserve">Crash-free session rate is an M4 gate and an Event-day rollback trigger.</t>
  </si>
  <si>
    <t xml:space="preserve">Reporting live from the first build. Crash-free session rate visible on the operational dashboard.</t>
  </si>
  <si>
    <t xml:space="preserve">Week 1, not later. A crash you cannot see is a crash you cannot fix at 10am on Event day.</t>
  </si>
  <si>
    <t xml:space="preserve">F-096</t>
  </si>
  <si>
    <t xml:space="preserve">Empty / error / loading / offline / permission states</t>
  </si>
  <si>
    <t xml:space="preserve">(various)</t>
  </si>
  <si>
    <t xml:space="preserve">Every screen has a defined, designed state for empty, loading, error, offline and permission-denied.</t>
  </si>
  <si>
    <t xml:space="preserve">These are the states a saturated venue network produces, and the ones nobody demos.</t>
  </si>
  <si>
    <t xml:space="preserve">L</t>
  </si>
  <si>
    <t xml:space="preserve">Design system</t>
  </si>
  <si>
    <t xml:space="preserve">Definition of done for every screen includes all five states. Reviewed at PR, not at the end.</t>
  </si>
  <si>
    <t xml:space="preserve">JB owns these as a named lane, not as cleanup. This is roughly a fifth of the total UI work.</t>
  </si>
  <si>
    <t xml:space="preserve">F-099</t>
  </si>
  <si>
    <t xml:space="preserve">E12 Platform &amp; Release</t>
  </si>
  <si>
    <t xml:space="preserve">EAS Update OTA channel</t>
  </si>
  <si>
    <t xml:space="preserve">Over-the-air JavaScript updates, configured in Week 1 and exercised before the Event.</t>
  </si>
  <si>
    <t xml:space="preserve">A JS fix must be shippable DURING the Event without a store round-trip.</t>
  </si>
  <si>
    <t xml:space="preserve">Configured in Week 1. A real OTA update is pushed and verified end to end at least once before the dry run.</t>
  </si>
  <si>
    <t xml:space="preserve">Its entire value is realised on one day in November and it cannot be added under pressure.</t>
  </si>
  <si>
    <t xml:space="preserve">Feature flag service</t>
  </si>
  <si>
    <t xml:space="preserve">Server-side flags controlling capability availability without a deploy.</t>
  </si>
  <si>
    <t xml:space="preserve">Underpins every kill switch and every Event-day rollback path.</t>
  </si>
  <si>
    <t xml:space="preserve">Flags take effect within one minute without an app update.</t>
  </si>
  <si>
    <t xml:space="preserve">Keep the flag set small. Every flag is a code path someone has to reason about at 10am on Event day.</t>
  </si>
  <si>
    <t xml:space="preserve">F-101</t>
  </si>
  <si>
    <t xml:space="preserve">Store submission assets</t>
  </si>
  <si>
    <t xml:space="preserve">(store listing)</t>
  </si>
  <si>
    <t xml:space="preserve">Screenshots, listing copy, privacy declarations and review notes for both stores.</t>
  </si>
  <si>
    <t xml:space="preserve">Store review runs 24-72h on a first submission and longer on rejection.</t>
  </si>
  <si>
    <t xml:space="preserve">Submitted to both stores by end of Week 11 with a full week of float before the confirmation email sends.</t>
  </si>
  <si>
    <t xml:space="preserve">Plan backwards from the Event date, not forwards from today. Review notes should explain the QR entry model explicitly.</t>
  </si>
  <si>
    <t xml:space="preserve">F-102</t>
  </si>
  <si>
    <t xml:space="preserve">Accessibility on the core loop</t>
  </si>
  <si>
    <t xml:space="preserve">Dynamic type, contrast, screen-reader labels and one-handed reachability across the seven-step loop.</t>
  </si>
  <si>
    <t xml:space="preserve">The real usage context is standing, one-handed, in a dim hall. This is usability, not compliance.</t>
  </si>
  <si>
    <t xml:space="preserve">Core loop passes dynamic type and contrast checks. Every primary action sits in the lower third of the screen.</t>
  </si>
  <si>
    <t xml:space="preserve">Verify violet #5B3DF5 on warm white #FAFAF8 at small sizes specifically. It is marginal.</t>
  </si>
  <si>
    <t xml:space="preserve">F-105</t>
  </si>
  <si>
    <t xml:space="preserve">E10 Outcome Report</t>
  </si>
  <si>
    <t xml:space="preserve">Report data pipeline</t>
  </si>
  <si>
    <t xml:space="preserve">Aggregates one Event into the figures the Outcome Report needs, with no personally identifying information.</t>
  </si>
  <si>
    <t xml:space="preserve">The data layer behind the thing you actually sell.</t>
  </si>
  <si>
    <t xml:space="preserve">F-078, F-054</t>
  </si>
  <si>
    <t xml:space="preserve">Every figure traces to a defined event in the frozen taxonomy. No PII without explicit consent.</t>
  </si>
  <si>
    <t xml:space="preserve">Aggregate and intent-theme level only. A named attendee list is a different product with different consent.</t>
  </si>
  <si>
    <t xml:space="preserve">F-106</t>
  </si>
  <si>
    <t xml:space="preserve">Report generation</t>
  </si>
  <si>
    <t xml:space="preserve">Produces the delivered document: live users over time, matches, accepted connections, Confirmed Meetings, intent themes, sponsor-attributable stats.</t>
  </si>
  <si>
    <t xml:space="preserve">Converts one in-kind Event into a priced pipeline. This is the sellable object.</t>
  </si>
  <si>
    <t xml:space="preserve">Delivered to the Organiser within 5 working days of Event end. Reviewed by the founder before it leaves the building.</t>
  </si>
  <si>
    <t xml:space="preserve">Publish it internally even when the numbers are unflattering. A report you would only send when the numbers are good is not a product.</t>
  </si>
  <si>
    <t xml:space="preserve">Theme</t>
  </si>
  <si>
    <t xml:space="preserve">Why it matters</t>
  </si>
  <si>
    <t xml:space="preserve">ENTRY CONDITION - do not start before</t>
  </si>
  <si>
    <t xml:space="preserve">Key risk</t>
  </si>
  <si>
    <t xml:space="preserve">P2-01</t>
  </si>
  <si>
    <t xml:space="preserve">Ambient density (co-working)</t>
  </si>
  <si>
    <t xml:space="preserve">Permanent venue room</t>
  </si>
  <si>
    <t xml:space="preserve">A Live Room that persists indefinitely for a fixed venue - a co-working floor - rather than for a time-boxed Event.</t>
  </si>
  <si>
    <t xml:space="preserve">The bridge from episodic to ambient usage. The liquidity thesis rests entirely on this working.</t>
  </si>
  <si>
    <t xml:space="preserve">Cohort-1 week-4 off-event retention at or above 8%. Below that, fix the core loop instead of adding a venue type.</t>
  </si>
  <si>
    <t xml:space="preserve">F-070, F-025</t>
  </si>
  <si>
    <t xml:space="preserve">A 60-member floor produces worse density than an 800-person hall, and a weak result reads as a verdict on the whole thesis when it is really a verdict on n=60.</t>
  </si>
  <si>
    <t xml:space="preserve">P2-02</t>
  </si>
  <si>
    <t xml:space="preserve">Badge-in entry integration</t>
  </si>
  <si>
    <t xml:space="preserve">Creates a Venue Session automatically when a member badges into the venue, via the operator's access system.</t>
  </si>
  <si>
    <t xml:space="preserve">Removes the only friction that matters in a daily-use context - nobody scans a QR every morning.</t>
  </si>
  <si>
    <t xml:space="preserve">P2-01 live, and a co-working operator willing to expose their access API.</t>
  </si>
  <si>
    <t xml:space="preserve">Third-party access-control integration is slow and operator-specific. Do not promise it before one operator has agreed in writing.</t>
  </si>
  <si>
    <t xml:space="preserve">P2-03</t>
  </si>
  <si>
    <t xml:space="preserve">Fixed BLE beacon region monitoring</t>
  </si>
  <si>
    <t xml:space="preserve">A fixed beacon at a known venue with iOS/Android region monitoring, giving passive room entry without continuous scanning.</t>
  </si>
  <si>
    <t xml:space="preserve">This is where proximity radio legitimately returns - a tractable problem, unlike a peer-to-peer mesh.</t>
  </si>
  <si>
    <t xml:space="preserve">P2-01 and P2-02 both live. Never as an MVP substitute for the server-side Venue Session.</t>
  </si>
  <si>
    <t xml:space="preserve">Reintroduces battery, permission and store-review questions the MVP deliberately avoided. Scope it as one venue, one beacon, one test.</t>
  </si>
  <si>
    <t xml:space="preserve">P2-04</t>
  </si>
  <si>
    <t xml:space="preserve">Weekday availability schedule</t>
  </si>
  <si>
    <t xml:space="preserve">Lets a member declare recurring windows when they are open to being matched.</t>
  </si>
  <si>
    <t xml:space="preserve">Converts Go Live from a per-visit action into a standing preference, which is what daily habit requires.</t>
  </si>
  <si>
    <t xml:space="preserve">P2-01 live and weekday go-live rate measured for at least 4 weeks.</t>
  </si>
  <si>
    <t xml:space="preserve">Risks becoming passive presence by the back door. The user must still be able to see and revoke it in one tap.</t>
  </si>
  <si>
    <t xml:space="preserve">P2-05</t>
  </si>
  <si>
    <t xml:space="preserve">Floor-level live count</t>
  </si>
  <si>
    <t xml:space="preserve">Ambient count of who is available on a floor or in a building right now.</t>
  </si>
  <si>
    <t xml:space="preserve">The 'glance at the signal' behaviour the product narrative is built on.</t>
  </si>
  <si>
    <t xml:space="preserve">P2-01 live.</t>
  </si>
  <si>
    <t xml:space="preserve">At low density this number is discouraging rather than motivating. Consider a threshold below which it is not shown.</t>
  </si>
  <si>
    <t xml:space="preserve">P2-06</t>
  </si>
  <si>
    <t xml:space="preserve">Organiser console</t>
  </si>
  <si>
    <t xml:space="preserve">Self-serve event creation</t>
  </si>
  <si>
    <t xml:space="preserve">Lets an Organiser create and configure their own Event without your team.</t>
  </si>
  <si>
    <t xml:space="preserve">The step that turns a services business into a product business.</t>
  </si>
  <si>
    <t xml:space="preserve">FIVE paying Organisers. Until then, concierge delivery teaches you what the console should be.</t>
  </si>
  <si>
    <t xml:space="preserve">6-8 developer-weeks in total across P2-06 to P2-09. In the MVP window this would come directly out of the Ledger and the Outcome Prompt.</t>
  </si>
  <si>
    <t xml:space="preserve">P2-07</t>
  </si>
  <si>
    <t xml:space="preserve">Attendee list upload</t>
  </si>
  <si>
    <t xml:space="preserve">Self-serve upload and validation of the expected attendee list.</t>
  </si>
  <si>
    <t xml:space="preserve">Removes the most common manual step in running an Event.</t>
  </si>
  <si>
    <t xml:space="preserve">P2-06 live.</t>
  </si>
  <si>
    <t xml:space="preserve">F-071, P2-06</t>
  </si>
  <si>
    <t xml:space="preserve">Attendee lists are personal data supplied by a third party. Get the processor/controller relationship documented before building this.</t>
  </si>
  <si>
    <t xml:space="preserve">P2-08</t>
  </si>
  <si>
    <t xml:space="preserve">Organiser live dashboard</t>
  </si>
  <si>
    <t xml:space="preserve">Read-only live view of their own Event: live count, matches, connections.</t>
  </si>
  <si>
    <t xml:space="preserve">Organisers want to watch it happen, and watching it happen is what they tell their sponsors about.</t>
  </si>
  <si>
    <t xml:space="preserve">F-073, P2-06</t>
  </si>
  <si>
    <t xml:space="preserve">Must be strictly aggregate. An Organiser must never see who connected with whom.</t>
  </si>
  <si>
    <t xml:space="preserve">P2-09</t>
  </si>
  <si>
    <t xml:space="preserve">Self-serve Outcome Report</t>
  </si>
  <si>
    <t xml:space="preserve">Generates and downloads the Outcome Report without your team.</t>
  </si>
  <si>
    <t xml:space="preserve">Removes the 5-working-day manual step and makes the report a product feature rather than a service.</t>
  </si>
  <si>
    <t xml:space="preserve">Three Events delivered manually, so the format has stopped changing.</t>
  </si>
  <si>
    <t xml:space="preserve">F-106, P2-06</t>
  </si>
  <si>
    <t xml:space="preserve">Do not automate a document whose contents are still being learned. Automate it once two Organisers in a row asked for nothing new.</t>
  </si>
  <si>
    <t xml:space="preserve">P2-10</t>
  </si>
  <si>
    <t xml:space="preserve">Sponsor attribution</t>
  </si>
  <si>
    <t xml:space="preserve">Attributes matches and Confirmed Meetings to a sponsor's stand, session or track.</t>
  </si>
  <si>
    <t xml:space="preserve">Sponsorship is where Organiser budget actually sits. This is what makes the report worth a five-figure fee.</t>
  </si>
  <si>
    <t xml:space="preserve">One Organiser has asked for it in writing during a priced conversation.</t>
  </si>
  <si>
    <t xml:space="preserve">Attractive, and it is the feature most likely to be requested before it is validated. Wait for the written ask.</t>
  </si>
  <si>
    <t xml:space="preserve">P2-11</t>
  </si>
  <si>
    <t xml:space="preserve">Graph &amp; intelligence</t>
  </si>
  <si>
    <t xml:space="preserve">Cross-event network surface</t>
  </si>
  <si>
    <t xml:space="preserve">Shows a user their accumulated network across Events, and where the overlaps are.</t>
  </si>
  <si>
    <t xml:space="preserve">Makes the Ledger feel like a compounding asset rather than a list.</t>
  </si>
  <si>
    <t xml:space="preserve">Two Events delivered, and cross-event Ledger continuity (F-049) proven.</t>
  </si>
  <si>
    <t xml:space="preserve">This is the closest thing to a feed in the roadmap. Keep it a view of what the user earned, never a discovery surface.</t>
  </si>
  <si>
    <t xml:space="preserve">P2-12</t>
  </si>
  <si>
    <t xml:space="preserve">Match feedback loop</t>
  </si>
  <si>
    <t xml:space="preserve">A lightweight signal on the Match Card feeding the hard rules layer.</t>
  </si>
  <si>
    <t xml:space="preserve">The first mechanism by which the Encounter Graph improves matching, rather than merely recording it.</t>
  </si>
  <si>
    <t xml:space="preserve">First encounter-graph analysis complete - i.e. you know whether similarity currently predicts accepts.</t>
  </si>
  <si>
    <t xml:space="preserve">F-014, F-054</t>
  </si>
  <si>
    <t xml:space="preserve">Do not build a learning loop before you know what the signal predicts. That analysis is a Phase 6 deliverable.</t>
  </si>
  <si>
    <t xml:space="preserve">P2-13</t>
  </si>
  <si>
    <t xml:space="preserve">Encounter graph export API</t>
  </si>
  <si>
    <t xml:space="preserve">Programmatic export of the outcome-labelled graph, held by Ol-ga.</t>
  </si>
  <si>
    <t xml:space="preserve">The asset must be portable and independently held, never resident only in a vendor.</t>
  </si>
  <si>
    <t xml:space="preserve">Any time - but a manual export after every Event is the MVP requirement and is sufficient for now.</t>
  </si>
  <si>
    <t xml:space="preserve">Not a customer-facing API. This is about ownership of the asset, not integration.</t>
  </si>
  <si>
    <t xml:space="preserve">P2-14</t>
  </si>
  <si>
    <t xml:space="preserve">Commercial</t>
  </si>
  <si>
    <t xml:space="preserve">Organiser billing and invoicing</t>
  </si>
  <si>
    <t xml:space="preserve">Contract, invoice and payment handling for Organiser deals.</t>
  </si>
  <si>
    <t xml:space="preserve">Only worth building when deal volume makes manual invoicing the bottleneck.</t>
  </si>
  <si>
    <t xml:space="preserve">Five signed Organiser contracts.</t>
  </si>
  <si>
    <t xml:space="preserve">In the 6-month horizon all revenue is invoiced offline against a contract. There is no in-app billing surface at all.</t>
  </si>
  <si>
    <t xml:space="preserve">P2-15</t>
  </si>
  <si>
    <t xml:space="preserve">Recruiter / BD seat: intent search</t>
  </si>
  <si>
    <t xml:space="preserve">A paid seat allowing search across stated intents at Events the buyer attends.</t>
  </si>
  <si>
    <t xml:space="preserve">The highest-value line in the model, and the one most likely to be mispriced.</t>
  </si>
  <si>
    <t xml:space="preserve">Encounter-graph analysis showing intro-to-meeting-to-outcome conversion. Then launch at $99-$149, not $200.</t>
  </si>
  <si>
    <t xml:space="preserve">Pricing above LinkedIn Sales Navigator Advanced is only defensible with outcome data. Also: a search surface over intents is a materially different privacy proposition - re-consent required.</t>
  </si>
  <si>
    <t xml:space="preserve">P2-16</t>
  </si>
  <si>
    <t xml:space="preserve">Platform</t>
  </si>
  <si>
    <t xml:space="preserve">Consent Manager API compatibility</t>
  </si>
  <si>
    <t xml:space="preserve">Makes the consent architecture compatible with India's DPDP Consent Manager framework.</t>
  </si>
  <si>
    <t xml:space="preserve">Full DPDP compliance lands 13 May 2027 and the window has reportedly been considered for shortening. Retrofitting consent is expensive.</t>
  </si>
  <si>
    <t xml:space="preserve">Design review in Phase 6 regardless of whether India entry is planned.</t>
  </si>
  <si>
    <t xml:space="preserve">Do this as design review inside the horizon even though India entry is out of horizon. The cost of not doing it is paid later at a much higher rate.</t>
  </si>
  <si>
    <t xml:space="preserve">P2-17</t>
  </si>
  <si>
    <t xml:space="preserve">Localisation framework</t>
  </si>
  <si>
    <t xml:space="preserve">Infrastructure for languages beyond English.</t>
  </si>
  <si>
    <t xml:space="preserve">Necessary before any non-English market. Not before.</t>
  </si>
  <si>
    <t xml:space="preserve">A paying Organiser has asked for it in writing.</t>
  </si>
  <si>
    <t xml:space="preserve">A permanent maintenance tax on a three-person team. Zero evidence of demand today.</t>
  </si>
  <si>
    <t xml:space="preserve">P2-18</t>
  </si>
  <si>
    <t xml:space="preserve">Intent templates by event type</t>
  </si>
  <si>
    <t xml:space="preserve">Pre-written Intent prompts tuned to the kind of Event - awards night, trade show, conference.</t>
  </si>
  <si>
    <t xml:space="preserve">The Intent Line wording is the highest-leverage copy in the product; different Event types need different prompts.</t>
  </si>
  <si>
    <t xml:space="preserve">Two Events delivered with the same prompt, so you have a baseline to vary against.</t>
  </si>
  <si>
    <t xml:space="preserve">Cheap and high value. This is the most likely Phase 2 item to earn its place early.</t>
  </si>
  <si>
    <t xml:space="preserve">Step</t>
  </si>
  <si>
    <t xml:space="preserve">Stage</t>
  </si>
  <si>
    <t xml:space="preserve">Actor</t>
  </si>
  <si>
    <t xml:space="preserve">Screen</t>
  </si>
  <si>
    <t xml:space="preserve">What the user sees</t>
  </si>
  <si>
    <t xml:space="preserve">What the user does</t>
  </si>
  <si>
    <t xml:space="preserve">System response</t>
  </si>
  <si>
    <t xml:space="preserve">Terminology introduced</t>
  </si>
  <si>
    <t xml:space="preserve">Entry condition</t>
  </si>
  <si>
    <t xml:space="preserve">Exit condition</t>
  </si>
  <si>
    <t xml:space="preserve">Edge cases &amp; failure</t>
  </si>
  <si>
    <t xml:space="preserve">Notification</t>
  </si>
  <si>
    <t xml:space="preserve">Data captured</t>
  </si>
  <si>
    <t xml:space="preserve">Event fired</t>
  </si>
  <si>
    <t xml:space="preserve">A. Before the event</t>
  </si>
  <si>
    <t xml:space="preserve">Attendee</t>
  </si>
  <si>
    <t xml:space="preserve">(external)</t>
  </si>
  <si>
    <t xml:space="preserve">The Organiser's normal ticket purchase or registration page.</t>
  </si>
  <si>
    <t xml:space="preserve">Registers for the event as they always would.</t>
  </si>
  <si>
    <t xml:space="preserve">Registration recorded by the Organiser. Ol-ga is not involved yet.</t>
  </si>
  <si>
    <t xml:space="preserve">Event, Organiser</t>
  </si>
  <si>
    <t xml:space="preserve">Person decides to attend.</t>
  </si>
  <si>
    <t xml:space="preserve">Registration confirmed.</t>
  </si>
  <si>
    <t xml:space="preserve">None that Ol-ga owns.</t>
  </si>
  <si>
    <t xml:space="preserve">(none - external system)</t>
  </si>
  <si>
    <t xml:space="preserve">(email)</t>
  </si>
  <si>
    <t xml:space="preserve">The ticket confirmation email, which now carries an Ol-ga section: what it is, and a link.</t>
  </si>
  <si>
    <t xml:space="preserve">Reads it, or does not.</t>
  </si>
  <si>
    <t xml:space="preserve">Nothing yet. The link carries the Event identifier.</t>
  </si>
  <si>
    <t xml:space="preserve">Email received.</t>
  </si>
  <si>
    <t xml:space="preserve">Email lands in spam; Organiser sends late; user registered before Ol-ga was added.</t>
  </si>
  <si>
    <t xml:space="preserve">Email (Organiser's)</t>
  </si>
  <si>
    <t xml:space="preserve">App store / app</t>
  </si>
  <si>
    <t xml:space="preserve">Either the app store listing, or the app opening directly if already installed.</t>
  </si>
  <si>
    <t xml:space="preserve">Taps the link in the email.</t>
  </si>
  <si>
    <t xml:space="preserve">Deep link resolves. If not installed, routes via the store and preserves the Event for first open.</t>
  </si>
  <si>
    <t xml:space="preserve">App installed and opened.</t>
  </si>
  <si>
    <t xml:space="preserve">Store link fails on an unsupported OS version; user opens on desktop; link opened twice.</t>
  </si>
  <si>
    <t xml:space="preserve">install_source = ticket_email</t>
  </si>
  <si>
    <t xml:space="preserve">F-002, F-083, F-101</t>
  </si>
  <si>
    <t xml:space="preserve">A single field: phone number or email. No password.</t>
  </si>
  <si>
    <t xml:space="preserve">Enters phone or email, then the code they receive.</t>
  </si>
  <si>
    <t xml:space="preserve">One-time code sent and verified. Account created.</t>
  </si>
  <si>
    <t xml:space="preserve">App opened.</t>
  </si>
  <si>
    <t xml:space="preserve">Signed in.</t>
  </si>
  <si>
    <t xml:space="preserve">Code not delivered (carrier); code expired; wrong code three times; no network.</t>
  </si>
  <si>
    <t xml:space="preserve">SMS or email (OTP)</t>
  </si>
  <si>
    <t xml:space="preserve">Contact identifier, timestamp</t>
  </si>
  <si>
    <t xml:space="preserve">Consent</t>
  </si>
  <si>
    <t xml:space="preserve">Plain-language consent screen written by counsel.</t>
  </si>
  <si>
    <t xml:space="preserve">Reads and accepts, or declines and leaves.</t>
  </si>
  <si>
    <t xml:space="preserve">Consent recorded with version and timestamp.</t>
  </si>
  <si>
    <t xml:space="preserve">Consent recorded.</t>
  </si>
  <si>
    <t xml:space="preserve">User declines - they must be able to leave cleanly with nothing stored.</t>
  </si>
  <si>
    <t xml:space="preserve">Consent version, timestamp</t>
  </si>
  <si>
    <t xml:space="preserve">Profile</t>
  </si>
  <si>
    <t xml:space="preserve">Name and role. Two fields.</t>
  </si>
  <si>
    <t xml:space="preserve">Types their role.</t>
  </si>
  <si>
    <t xml:space="preserve">Profile saved. This is everything a Reveal will show, plus a photo later.</t>
  </si>
  <si>
    <t xml:space="preserve">Profile complete.</t>
  </si>
  <si>
    <t xml:space="preserve">LinkedIn prefill returns partial data; user has no clear job title.</t>
  </si>
  <si>
    <t xml:space="preserve">Name, photo, role, company</t>
  </si>
  <si>
    <t xml:space="preserve">profile_completed, profile_prefill_used</t>
  </si>
  <si>
    <t xml:space="preserve">F-003, F-004</t>
  </si>
  <si>
    <t xml:space="preserve">One text box: 'What are you hoping to get out of the evening?' with the story's example as placeholder.</t>
  </si>
  <si>
    <t xml:space="preserve">Writes one line - the story's user writes 'looking for a distribution partner for our fintech product in Indonesia'.</t>
  </si>
  <si>
    <t xml:space="preserve">Intent stored against this session and sent for embedding.</t>
  </si>
  <si>
    <t xml:space="preserve">Intent, Intent Line</t>
  </si>
  <si>
    <t xml:space="preserve">Intent submitted.</t>
  </si>
  <si>
    <t xml:space="preserve">User writes one vague word; user writes an essay; embedding vendor is down (retry, never block).</t>
  </si>
  <si>
    <t xml:space="preserve">Intent text, session id</t>
  </si>
  <si>
    <t xml:space="preserve">intent_submitted, embedding_generated</t>
  </si>
  <si>
    <t xml:space="preserve">F-010, F-012, F-090</t>
  </si>
  <si>
    <t xml:space="preserve">Ready confirmation</t>
  </si>
  <si>
    <t xml:space="preserve">'You're set. Just open Ol-ga when you arrive and tap Go Live.'</t>
  </si>
  <si>
    <t xml:space="preserve">Reads and closes the app.</t>
  </si>
  <si>
    <t xml:space="preserve">Nothing further until arrival. No presence exists yet.</t>
  </si>
  <si>
    <t xml:space="preserve">User closes the app.</t>
  </si>
  <si>
    <t xml:space="preserve">User expects matches now. The copy must set the expectation - and must NOT tell them to hunt for a QR code, because geofence is the primary path.</t>
  </si>
  <si>
    <t xml:space="preserve">System</t>
  </si>
  <si>
    <t xml:space="preserve">(push)</t>
  </si>
  <si>
    <t xml:space="preserve">A reminder on the morning of the event: 'Scan the Ol-ga code at registration.'</t>
  </si>
  <si>
    <t xml:space="preserve">Nothing.</t>
  </si>
  <si>
    <t xml:space="preserve">Push sent only to users who completed Intent.</t>
  </si>
  <si>
    <t xml:space="preserve">Event day arrives.</t>
  </si>
  <si>
    <t xml:space="preserve">Push delivered.</t>
  </si>
  <si>
    <t xml:space="preserve">Push permission not yet granted (it is requested later, so most users will not receive this) - the QR at the venue is the real safety net.</t>
  </si>
  <si>
    <t xml:space="preserve">Push</t>
  </si>
  <si>
    <t xml:space="preserve">push_sent</t>
  </si>
  <si>
    <t xml:space="preserve">B. At the venue</t>
  </si>
  <si>
    <t xml:space="preserve">The app opens and they are already in the room: '147 people live right now'.</t>
  </si>
  <si>
    <t xml:space="preserve">Opens the app. That is all.</t>
  </si>
  <si>
    <t xml:space="preserve">One coarse foreground location check places them in the Live Room. No scanning, no camera.</t>
  </si>
  <si>
    <t xml:space="preserve">Live Room, Venue Session</t>
  </si>
  <si>
    <t xml:space="preserve">Physically at the venue.</t>
  </si>
  <si>
    <t xml:space="preserve">Venue Session created.</t>
  </si>
  <si>
    <t xml:space="preserve">Location permission denied - route to the QR path in one tap; out of geofence range; no network at the door.</t>
  </si>
  <si>
    <t xml:space="preserve">Event id, session identifier, timestamp</t>
  </si>
  <si>
    <t xml:space="preserve">F-026, F-030, F-025</t>
  </si>
  <si>
    <t xml:space="preserve">The live count, and a Go Live control asking two things: how long, and where in the venue you are.</t>
  </si>
  <si>
    <t xml:space="preserve">Picks 'for the hour' and taps 'north bar'.</t>
  </si>
  <si>
    <t xml:space="preserve">Availability window and self-declared zone are attached to the session. Zone is optional and skippable.</t>
  </si>
  <si>
    <t xml:space="preserve">Availability Window, Venue Zone</t>
  </si>
  <si>
    <t xml:space="preserve">User sees the room.</t>
  </si>
  <si>
    <t xml:space="preserve">User skips the zone - every Match Card must render correctly without it.</t>
  </si>
  <si>
    <t xml:space="preserve">Window minutes, declared zone</t>
  </si>
  <si>
    <t xml:space="preserve">F-027, F-021, F-028</t>
  </si>
  <si>
    <t xml:space="preserve">The Go Live control, and a one-line reminder of what going Live means.</t>
  </si>
  <si>
    <t xml:space="preserve">Taps Go Live.</t>
  </si>
  <si>
    <t xml:space="preserve">User becomes visible to matching. Match generation starts immediately.</t>
  </si>
  <si>
    <t xml:space="preserve">Go Live, Live</t>
  </si>
  <si>
    <t xml:space="preserve">In the Live Room.</t>
  </si>
  <si>
    <t xml:space="preserve">User is Live.</t>
  </si>
  <si>
    <t xml:space="preserve">User expects to be found without going Live - this must be impossible and the copy must say so.</t>
  </si>
  <si>
    <t xml:space="preserve">Session state, timestamp</t>
  </si>
  <si>
    <t xml:space="preserve">went_live</t>
  </si>
  <si>
    <t xml:space="preserve">Live tab (loading)</t>
  </si>
  <si>
    <t xml:space="preserve">A brief generating state.</t>
  </si>
  <si>
    <t xml:space="preserve">Waits, typically under two seconds.</t>
  </si>
  <si>
    <t xml:space="preserve">Intent embedding is compared against everyone Live in this room; hard rules filter the candidates; three are selected; an Explanation is generated or served from cache for each.</t>
  </si>
  <si>
    <t xml:space="preserve">Match, Match Set, Hard Rules</t>
  </si>
  <si>
    <t xml:space="preserve">Match Set ready.</t>
  </si>
  <si>
    <t xml:space="preserve">Fewer than four candidates in the room; embedding vendor error; LLM error (falls back to rule-based); latency above 4s (reduce candidate pool via flag).</t>
  </si>
  <si>
    <t xml:space="preserve">Room size, candidate count, similarity scores, latency</t>
  </si>
  <si>
    <t xml:space="preserve">match_search_run, match_rules_applied, explanation_generated, match_served</t>
  </si>
  <si>
    <t xml:space="preserve">F-013, F-014, F-015, F-016, F-017, F-018, F-019, F-082</t>
  </si>
  <si>
    <t xml:space="preserve">Three Match Cards. The Explanation is the largest thing on each; then the role; then the zone - the story's 'Regional director, payments. Also live, near the north bar.'</t>
  </si>
  <si>
    <t xml:space="preserve">Reads the three explanations.</t>
  </si>
  <si>
    <t xml:space="preserve">Cards rendered from cache. No further generation.</t>
  </si>
  <si>
    <t xml:space="preserve">Match Card, Explanation</t>
  </si>
  <si>
    <t xml:space="preserve">User has read the set.</t>
  </si>
  <si>
    <t xml:space="preserve">Only one or two matches available - say so honestly rather than padding the set.</t>
  </si>
  <si>
    <t xml:space="preserve">Push: 'Your three matches are ready'</t>
  </si>
  <si>
    <t xml:space="preserve">match_card_viewed, push_sent</t>
  </si>
  <si>
    <t xml:space="preserve">F-015, F-016, F-021, F-058</t>
  </si>
  <si>
    <t xml:space="preserve">The OS notification permission dialog.</t>
  </si>
  <si>
    <t xml:space="preserve">Grants or denies.</t>
  </si>
  <si>
    <t xml:space="preserve">Permission requested here and nowhere earlier - after value has been demonstrated.</t>
  </si>
  <si>
    <t xml:space="preserve">First Match Set served.</t>
  </si>
  <si>
    <t xml:space="preserve">Permission decision made.</t>
  </si>
  <si>
    <t xml:space="preserve">Denied - the in-app outcome fallback (F-055) now carries gate metric 2.</t>
  </si>
  <si>
    <t xml:space="preserve">Grant / deny</t>
  </si>
  <si>
    <t xml:space="preserve">F-005, F-055</t>
  </si>
  <si>
    <t xml:space="preserve">Match detail</t>
  </si>
  <si>
    <t xml:space="preserve">The full Explanation, the person's role and company, and a Connect control. No profile depth beyond that.</t>
  </si>
  <si>
    <t xml:space="preserve">Opens one card to consider it.</t>
  </si>
  <si>
    <t xml:space="preserve">Nothing changes. Viewing is not a signal to the other party.</t>
  </si>
  <si>
    <t xml:space="preserve">Match Set served.</t>
  </si>
  <si>
    <t xml:space="preserve">Card considered.</t>
  </si>
  <si>
    <t xml:space="preserve">User wants more information than exists - the card deliberately shows less than a profile.</t>
  </si>
  <si>
    <t xml:space="preserve">match_expanded</t>
  </si>
  <si>
    <t xml:space="preserve">A Connect control, and a note that the other person will not know if they say no.</t>
  </si>
  <si>
    <t xml:space="preserve">Taps Connect.</t>
  </si>
  <si>
    <t xml:space="preserve">A Connect Request is sent. The sender sees a neutral 'sent' state that will never resolve into a visible rejection.</t>
  </si>
  <si>
    <t xml:space="preserve">Connect Request, Silent Decline</t>
  </si>
  <si>
    <t xml:space="preserve">Request sent.</t>
  </si>
  <si>
    <t xml:space="preserve">Rate limit reached; network failure (queued and retried); the other person has already gone offline.</t>
  </si>
  <si>
    <t xml:space="preserve">Request row, timestamp</t>
  </si>
  <si>
    <t xml:space="preserve">F-035, F-039, F-094</t>
  </si>
  <si>
    <t xml:space="preserve">Other attendee</t>
  </si>
  <si>
    <t xml:space="preserve">(push) then Live tab</t>
  </si>
  <si>
    <t xml:space="preserve">'Someone wants to connect' - and on opening, the requester's reason and zone, WITHOUT their identity.</t>
  </si>
  <si>
    <t xml:space="preserve">Accepts in ninety seconds, because she can see his reason too.</t>
  </si>
  <si>
    <t xml:space="preserve">On accept, both identities are revealed simultaneously. On decline or inaction, nothing is written anywhere the sender can observe.</t>
  </si>
  <si>
    <t xml:space="preserve">Accept, Reveal</t>
  </si>
  <si>
    <t xml:space="preserve">Request received.</t>
  </si>
  <si>
    <t xml:space="preserve">Decision made or request expires at Event end.</t>
  </si>
  <si>
    <t xml:space="preserve">Decline and no-answer must be indistinguishable to the sender, including in timing.</t>
  </si>
  <si>
    <t xml:space="preserve">Push: 'Someone wants to connect'</t>
  </si>
  <si>
    <t xml:space="preserve">Accept / decline (decline aggregate only)</t>
  </si>
  <si>
    <t xml:space="preserve">request_accepted or request_declined, push_opened</t>
  </si>
  <si>
    <t xml:space="preserve">F-036, F-037, F-038, F-040, F-059</t>
  </si>
  <si>
    <t xml:space="preserve">Both</t>
  </si>
  <si>
    <t xml:space="preserve">Name, photo, role, company - and a cue about where to find each other in the venue.</t>
  </si>
  <si>
    <t xml:space="preserve">Reads it. Goes to find the person.</t>
  </si>
  <si>
    <t xml:space="preserve">Connection created and written to both Ledgers immediately.</t>
  </si>
  <si>
    <t xml:space="preserve">Connection, Ledger</t>
  </si>
  <si>
    <t xml:space="preserve">Mutual accept.</t>
  </si>
  <si>
    <t xml:space="preserve">Both parties have the Reveal.</t>
  </si>
  <si>
    <t xml:space="preserve">One party has left the venue; one party's app is offline (Reveal syncs on reconnect).</t>
  </si>
  <si>
    <t xml:space="preserve">Push to the original sender: 'You're connected'</t>
  </si>
  <si>
    <t xml:space="preserve">Connection row, Event, timestamp, original Explanation</t>
  </si>
  <si>
    <t xml:space="preserve">request_accepted, push_sent</t>
  </si>
  <si>
    <t xml:space="preserve">F-036, F-045, F-060</t>
  </si>
  <si>
    <t xml:space="preserve">(no screen)</t>
  </si>
  <si>
    <t xml:space="preserve">Nothing. There is no chat.</t>
  </si>
  <si>
    <t xml:space="preserve">Walks over and has the conversation.</t>
  </si>
  <si>
    <t xml:space="preserve">Ol-ga does nothing here. The absence of chat is the mechanism that forces the meeting.</t>
  </si>
  <si>
    <t xml:space="preserve">Reveal complete.</t>
  </si>
  <si>
    <t xml:space="preserve">They meet, or they do not.</t>
  </si>
  <si>
    <t xml:space="preserve">They cannot find each other - the venue cue is the only help, and it is deliberately coarse.</t>
  </si>
  <si>
    <t xml:space="preserve">'Show me three more', available only once all three matches have been acted on.</t>
  </si>
  <si>
    <t xml:space="preserve">Taps it, if they want more.</t>
  </si>
  <si>
    <t xml:space="preserve">A new Match Set is generated, excluding everyone already shown.</t>
  </si>
  <si>
    <t xml:space="preserve">Match Set refresh</t>
  </si>
  <si>
    <t xml:space="preserve">All three acted on.</t>
  </si>
  <si>
    <t xml:space="preserve">New Match Set served.</t>
  </si>
  <si>
    <t xml:space="preserve">Room exhausted - say so honestly; rate limit reached.</t>
  </si>
  <si>
    <t xml:space="preserve">match_refresh_requested, match_served</t>
  </si>
  <si>
    <t xml:space="preserve">Time remaining on the availability window, and a Go Offline control.</t>
  </si>
  <si>
    <t xml:space="preserve">Lets the window run out, or taps Go Offline.</t>
  </si>
  <si>
    <t xml:space="preserve">Presence disappears within 5 seconds. The declared zone is cleared with the session.</t>
  </si>
  <si>
    <t xml:space="preserve">Go Offline, session expiry</t>
  </si>
  <si>
    <t xml:space="preserve">No longer Live.</t>
  </si>
  <si>
    <t xml:space="preserve">Silent disappearance would read as a bug - expiry must be communicated.</t>
  </si>
  <si>
    <t xml:space="preserve">Session end, timestamp</t>
  </si>
  <si>
    <t xml:space="preserve">went_offline, session_expired</t>
  </si>
  <si>
    <t xml:space="preserve">F-027, F-029, F-021</t>
  </si>
  <si>
    <t xml:space="preserve">C. After the event</t>
  </si>
  <si>
    <t xml:space="preserve">(push) then Outcome prompt</t>
  </si>
  <si>
    <t xml:space="preserve">ONE notification: 'You connected with three people tonight. Did you actually meet?' Then each connection in turn.</t>
  </si>
  <si>
    <t xml:space="preserve">Three taps. Two yes, one no.</t>
  </si>
  <si>
    <t xml:space="preserve">Each answer stored on its Encounter as that side's met/not-met label.</t>
  </si>
  <si>
    <t xml:space="preserve">Outcome Prompt, Outcome Label, Encounter</t>
  </si>
  <si>
    <t xml:space="preserve">Event ended (within 3 hours).</t>
  </si>
  <si>
    <t xml:space="preserve">All connections answered, or abandoned partway.</t>
  </si>
  <si>
    <t xml:space="preserve">Push denied - the in-app fallback shows the same batched sequence on next open; user answers two and abandons the third (partial answers are kept).</t>
  </si>
  <si>
    <t xml:space="preserve">Push: 'Did you actually meet?'</t>
  </si>
  <si>
    <t xml:space="preserve">Outcome label, side, timestamp</t>
  </si>
  <si>
    <t xml:space="preserve">F-052, F-055, F-061</t>
  </si>
  <si>
    <t xml:space="preserve">For each connection answered 'yes': 'Was it useful?'</t>
  </si>
  <si>
    <t xml:space="preserve">Two more taps - the story's 'For each yes: was it useful? Two taps.'</t>
  </si>
  <si>
    <t xml:space="preserve">Usefulness stored on the Encounter as a label distinct from met/not-met.</t>
  </si>
  <si>
    <t xml:space="preserve">Answered yes to having met.</t>
  </si>
  <si>
    <t xml:space="preserve">Usefulness answered or skipped.</t>
  </si>
  <si>
    <t xml:space="preserve">User answers 'met' but skips usefulness - keep the met label, leave usefulness null rather than defaulting it.</t>
  </si>
  <si>
    <t xml:space="preserve">(same notification)</t>
  </si>
  <si>
    <t xml:space="preserve">Usefulness label, side</t>
  </si>
  <si>
    <t xml:space="preserve">'Anything you owe them?' with a single short text field.</t>
  </si>
  <si>
    <t xml:space="preserve">Types one line: 'send the Indonesia deck'.</t>
  </si>
  <si>
    <t xml:space="preserve">Commitment stored on the Connection, private to this user, and feeds the decay indicator.</t>
  </si>
  <si>
    <t xml:space="preserve">Usefulness answered.</t>
  </si>
  <si>
    <t xml:space="preserve">Commitment added or skipped.</t>
  </si>
  <si>
    <t xml:space="preserve">Most users will skip - that is fine. The one who does not is the one who opens the app on Friday.</t>
  </si>
  <si>
    <t xml:space="preserve">Commitment text</t>
  </si>
  <si>
    <t xml:space="preserve">commitment_added</t>
  </si>
  <si>
    <t xml:space="preserve">One reminder, 72 hours later, to non-responders only.</t>
  </si>
  <si>
    <t xml:space="preserve">Answers, or continues not to.</t>
  </si>
  <si>
    <t xml:space="preserve">Sent exactly once. Never sent to anyone who already answered.</t>
  </si>
  <si>
    <t xml:space="preserve">72 hours after the prompt, unanswered.</t>
  </si>
  <si>
    <t xml:space="preserve">Answered or abandoned.</t>
  </si>
  <si>
    <t xml:space="preserve">A second reminder would read as harassment - there is only ever one.</t>
  </si>
  <si>
    <t xml:space="preserve">When both sides have answered yes, the Encounter is marked a Confirmed Meeting and an agreement flag is set.</t>
  </si>
  <si>
    <t xml:space="preserve">Dual-Party Confirmation, Confirmed Meeting</t>
  </si>
  <si>
    <t xml:space="preserve">Both sides answered.</t>
  </si>
  <si>
    <t xml:space="preserve">Encounter labelled.</t>
  </si>
  <si>
    <t xml:space="preserve">One side says yes and the other no - recorded as a disagreement and NEVER counted as a confirmation.</t>
  </si>
  <si>
    <t xml:space="preserve">Agreement flag</t>
  </si>
  <si>
    <t xml:space="preserve">D. Away from the venue</t>
  </si>
  <si>
    <t xml:space="preserve">Ledger (home)</t>
  </si>
  <si>
    <t xml:space="preserve">Every connection ever made, each showing what that person was looking for IN THEIR OWN WORDS, and what you owe them.</t>
  </si>
  <si>
    <t xml:space="preserve">Opens the app days later, for the first time away from a venue.</t>
  </si>
  <si>
    <t xml:space="preserve">Ledger renders, from local cache if offline. This open is flagged Off-Event.</t>
  </si>
  <si>
    <t xml:space="preserve">Ledger, Off-Event</t>
  </si>
  <si>
    <t xml:space="preserve">App opened away from an active Venue Session.</t>
  </si>
  <si>
    <t xml:space="preserve">Ledger viewed.</t>
  </si>
  <si>
    <t xml:space="preserve">No connections yet - the empty state is still the home screen and must not read as a failure.</t>
  </si>
  <si>
    <t xml:space="preserve">Off-event flag, timestamp</t>
  </si>
  <si>
    <t xml:space="preserve">ledger_opened (off_event=true)</t>
  </si>
  <si>
    <t xml:space="preserve">F-045, F-046, F-050, F-048, F-079</t>
  </si>
  <si>
    <t xml:space="preserve">'Two have gone quiet' - named, with how long it has been.</t>
  </si>
  <si>
    <t xml:space="preserve">Sees that she is still owed the Indonesia deck, nine days on.</t>
  </si>
  <si>
    <t xml:space="preserve">Passive. No push in the MVP.</t>
  </si>
  <si>
    <t xml:space="preserve">Decay Indicator, Commitment</t>
  </si>
  <si>
    <t xml:space="preserve">User acts, or does not.</t>
  </si>
  <si>
    <t xml:space="preserve">If notification opt-out or uninstall rate rises, this crossed from useful to nagging - soften it.</t>
  </si>
  <si>
    <t xml:space="preserve">F-047, F-050</t>
  </si>
  <si>
    <t xml:space="preserve">The person, the event, the date, their intent in their own words, and the Explanation that first put you together.</t>
  </si>
  <si>
    <t xml:space="preserve">Reads it to remember who this was.</t>
  </si>
  <si>
    <t xml:space="preserve">Nothing changes. It is a memory aid.</t>
  </si>
  <si>
    <t xml:space="preserve">Context recovered.</t>
  </si>
  <si>
    <t xml:space="preserve">The other user deleted their account - show a respectful tombstone, not an error.</t>
  </si>
  <si>
    <t xml:space="preserve">F-046, F-050</t>
  </si>
  <si>
    <t xml:space="preserve">The commitment line, and a way to mark it done.</t>
  </si>
  <si>
    <t xml:space="preserve">Sends the deck, marks it done.</t>
  </si>
  <si>
    <t xml:space="preserve">Commitment struck through. The connection stops ageing on that basis.</t>
  </si>
  <si>
    <t xml:space="preserve">Commitment exists.</t>
  </si>
  <si>
    <t xml:space="preserve">Marked done, or left open.</t>
  </si>
  <si>
    <t xml:space="preserve">User does the thing but never marks it - the decay indicator will nag about something already handled. Make marking done one tap.</t>
  </si>
  <si>
    <t xml:space="preserve">Completion, timestamp</t>
  </si>
  <si>
    <t xml:space="preserve">commitment_completed</t>
  </si>
  <si>
    <t xml:space="preserve">F-050, F-047</t>
  </si>
  <si>
    <t xml:space="preserve">Their own email or LinkedIn.</t>
  </si>
  <si>
    <t xml:space="preserve">Follows up outside Ol-ga.</t>
  </si>
  <si>
    <t xml:space="preserve">Ol-ga does not see this and does not try to. There is no chat, deliberately.</t>
  </si>
  <si>
    <t xml:space="preserve">Follow-up sent, or not.</t>
  </si>
  <si>
    <t xml:space="preserve">The product cannot measure off-platform follow-up. Do not pretend otherwise in reporting.</t>
  </si>
  <si>
    <t xml:space="preserve">'No live room right now' plus, where known, upcoming events.</t>
  </si>
  <si>
    <t xml:space="preserve">Opens the Live tab out of habit.</t>
  </si>
  <si>
    <t xml:space="preserve">No room to enter. This state will be seen far more often than the Live state.</t>
  </si>
  <si>
    <t xml:space="preserve">App opened off-event.</t>
  </si>
  <si>
    <t xml:space="preserve">User closes, or browses the Ledger.</t>
  </si>
  <si>
    <t xml:space="preserve">This is the most-seen screen in the product between events. It deserves real design attention, not a placeholder.</t>
  </si>
  <si>
    <t xml:space="preserve">Off-event flag</t>
  </si>
  <si>
    <t xml:space="preserve">Live tab (next event)</t>
  </si>
  <si>
    <t xml:space="preserve">The same Go Live flow, at a different event, with the Ledger intact underneath.</t>
  </si>
  <si>
    <t xml:space="preserve">Scans a new venue code months later.</t>
  </si>
  <si>
    <t xml:space="preserve">New Venue Session, new Match Set, new Intent. The Ledger accumulates across events.</t>
  </si>
  <si>
    <t xml:space="preserve">Cross-event continuity</t>
  </si>
  <si>
    <t xml:space="preserve">Attending a second event.</t>
  </si>
  <si>
    <t xml:space="preserve">Loop repeats.</t>
  </si>
  <si>
    <t xml:space="preserve">Their old Intent is pre-filled and no longer relevant - prompt them to rewrite it.</t>
  </si>
  <si>
    <t xml:space="preserve">New Event id</t>
  </si>
  <si>
    <t xml:space="preserve">room_entered, intent_submitted</t>
  </si>
  <si>
    <t xml:space="preserve">F-049, F-011</t>
  </si>
  <si>
    <t xml:space="preserve">Screen ID</t>
  </si>
  <si>
    <t xml:space="preserve">Purpose</t>
  </si>
  <si>
    <t xml:space="preserve">State</t>
  </si>
  <si>
    <t xml:space="preserve">Trigger</t>
  </si>
  <si>
    <t xml:space="preserve">What is shown</t>
  </si>
  <si>
    <t xml:space="preserve">Copy guidance</t>
  </si>
  <si>
    <t xml:space="preserve">Primary action</t>
  </si>
  <si>
    <t xml:space="preserve">S-01</t>
  </si>
  <si>
    <t xml:space="preserve">Get a stranger in without a barrier</t>
  </si>
  <si>
    <t xml:space="preserve">App opened, not signed in</t>
  </si>
  <si>
    <t xml:space="preserve">One field: phone or email</t>
  </si>
  <si>
    <t xml:space="preserve">Say what happens next: 'We'll text you a code'</t>
  </si>
  <si>
    <t xml:space="preserve">Send code</t>
  </si>
  <si>
    <t xml:space="preserve">Code sent</t>
  </si>
  <si>
    <t xml:space="preserve">Identifier submitted</t>
  </si>
  <si>
    <t xml:space="preserve">Code entry, resend timer</t>
  </si>
  <si>
    <t xml:space="preserve">Name the destination: 'Code sent to +60...'</t>
  </si>
  <si>
    <t xml:space="preserve">Verify</t>
  </si>
  <si>
    <t xml:space="preserve">Invalid / expired code</t>
  </si>
  <si>
    <t xml:space="preserve">Wrong or stale code</t>
  </si>
  <si>
    <t xml:space="preserve">Inline error on the field</t>
  </si>
  <si>
    <t xml:space="preserve">Say what to do, not what went wrong: 'That code has expired - resend'</t>
  </si>
  <si>
    <t xml:space="preserve">Resend</t>
  </si>
  <si>
    <t xml:space="preserve">No network</t>
  </si>
  <si>
    <t xml:space="preserve">Request failed</t>
  </si>
  <si>
    <t xml:space="preserve">Retry affordance, entered value preserved</t>
  </si>
  <si>
    <t xml:space="preserve">Never lose what they typed</t>
  </si>
  <si>
    <t xml:space="preserve">Retry</t>
  </si>
  <si>
    <t xml:space="preserve">F-001, F-094</t>
  </si>
  <si>
    <t xml:space="preserve">S-02</t>
  </si>
  <si>
    <t xml:space="preserve">Record consent lawfully and plainly</t>
  </si>
  <si>
    <t xml:space="preserve">First sign-in</t>
  </si>
  <si>
    <t xml:space="preserve">Counsel-approved plain-language consent</t>
  </si>
  <si>
    <t xml:space="preserve">Plain language, no dark patterns, decline is a real option</t>
  </si>
  <si>
    <t xml:space="preserve">S-03</t>
  </si>
  <si>
    <t xml:space="preserve">Enough for a Reveal to mean something</t>
  </si>
  <si>
    <t xml:space="preserve">Consent recorded</t>
  </si>
  <si>
    <t xml:space="preserve">Name and role. TWO fields.</t>
  </si>
  <si>
    <t xml:space="preserve">Story target is 40 seconds for the whole onboarding. Say why role exists: 'this is what someone sees when you both accept'</t>
  </si>
  <si>
    <t xml:space="preserve">Save</t>
  </si>
  <si>
    <t xml:space="preserve">Prefill offered</t>
  </si>
  <si>
    <t xml:space="preserve">LinkedIn available</t>
  </si>
  <si>
    <t xml:space="preserve">Same fields, pre-populated, all editable</t>
  </si>
  <si>
    <t xml:space="preserve">Make it clear they can change everything</t>
  </si>
  <si>
    <t xml:space="preserve">Saving / save failed</t>
  </si>
  <si>
    <t xml:space="preserve">Save tapped</t>
  </si>
  <si>
    <t xml:space="preserve">Progress, or retry with values preserved</t>
  </si>
  <si>
    <t xml:space="preserve">Never lose the photo upload on a slow connection</t>
  </si>
  <si>
    <t xml:space="preserve">F-003, F-094</t>
  </si>
  <si>
    <t xml:space="preserve">S-04</t>
  </si>
  <si>
    <t xml:space="preserve">The highest-leverage screen in the product</t>
  </si>
  <si>
    <t xml:space="preserve">Profile complete</t>
  </si>
  <si>
    <t xml:space="preserve">ONE text box. No dropdowns.</t>
  </si>
  <si>
    <t xml:space="preserve">Use the story's line as placeholder: 'looking for a distribution partner for our fintech product in Indonesia'. The prompt wording matters more than any other copy in the product.</t>
  </si>
  <si>
    <t xml:space="preserve">Submit</t>
  </si>
  <si>
    <t xml:space="preserve">Empty / too short</t>
  </si>
  <si>
    <t xml:space="preserve">Submit with no useful text</t>
  </si>
  <si>
    <t xml:space="preserve">Inline guidance with a worked example</t>
  </si>
  <si>
    <t xml:space="preserve">Show a good example, do not scold</t>
  </si>
  <si>
    <t xml:space="preserve">Editing / new session</t>
  </si>
  <si>
    <t xml:space="preserve">Go Live in a new room</t>
  </si>
  <si>
    <t xml:space="preserve">Previous intent pre-filled, explicitly prompting a rewrite</t>
  </si>
  <si>
    <t xml:space="preserve">Story: a different room means a different intent. Prompt the rewrite, do not assume it carries over.</t>
  </si>
  <si>
    <t xml:space="preserve">Update</t>
  </si>
  <si>
    <t xml:space="preserve">Offline</t>
  </si>
  <si>
    <t xml:space="preserve">No network on submit</t>
  </si>
  <si>
    <t xml:space="preserve">Queued state, visibly saved locally</t>
  </si>
  <si>
    <t xml:space="preserve">Reassure that it is saved and will send</t>
  </si>
  <si>
    <t xml:space="preserve">F-010, F-094</t>
  </si>
  <si>
    <t xml:space="preserve">S-05</t>
  </si>
  <si>
    <t xml:space="preserve">Set the expectation for the venue</t>
  </si>
  <si>
    <t xml:space="preserve">Intent submitted</t>
  </si>
  <si>
    <t xml:space="preserve">What happens on arrival: open the app and tap Go Live</t>
  </si>
  <si>
    <t xml:space="preserve">Do NOT tell them to hunt for a QR code - geofence is the primary path</t>
  </si>
  <si>
    <t xml:space="preserve">Done</t>
  </si>
  <si>
    <t xml:space="preserve">F-010, F-026</t>
  </si>
  <si>
    <t xml:space="preserve">S-06</t>
  </si>
  <si>
    <t xml:space="preserve">The reason to open the app on a Tuesday</t>
  </si>
  <si>
    <t xml:space="preserve">Empty</t>
  </si>
  <si>
    <t xml:space="preserve">No connections yet</t>
  </si>
  <si>
    <t xml:space="preserve">An explanation of what will appear here after their first event</t>
  </si>
  <si>
    <t xml:space="preserve">Not a failure state. This is a promise, not an apology.</t>
  </si>
  <si>
    <t xml:space="preserve">Go to Live</t>
  </si>
  <si>
    <t xml:space="preserve">Populated</t>
  </si>
  <si>
    <t xml:space="preserve">One or more connections</t>
  </si>
  <si>
    <t xml:space="preserve">Connections newest first, with event, date and decay marker</t>
  </si>
  <si>
    <t xml:space="preserve">Lead with the person and the reason, not the date</t>
  </si>
  <si>
    <t xml:space="preserve">Open connection</t>
  </si>
  <si>
    <t xml:space="preserve">F-045, F-047</t>
  </si>
  <si>
    <t xml:space="preserve">Loading</t>
  </si>
  <si>
    <t xml:space="preserve">App opened</t>
  </si>
  <si>
    <t xml:space="preserve">Skeleton, not a spinner over a blank screen</t>
  </si>
  <si>
    <t xml:space="preserve">Offline (cached)</t>
  </si>
  <si>
    <t xml:space="preserve">Full ledger from cache, with a quiet offline marker</t>
  </si>
  <si>
    <t xml:space="preserve">Do not block reading. Reading works offline by design.</t>
  </si>
  <si>
    <t xml:space="preserve">S-07</t>
  </si>
  <si>
    <t xml:space="preserve">Enter a room and become visible</t>
  </si>
  <si>
    <t xml:space="preserve">No live room</t>
  </si>
  <si>
    <t xml:space="preserve">Off-event, no venue session</t>
  </si>
  <si>
    <t xml:space="preserve">'No live room right now' plus known upcoming events</t>
  </si>
  <si>
    <t xml:space="preserve">MOST-SEEN SCREEN BETWEEN EVENTS. Give it real design attention.</t>
  </si>
  <si>
    <t xml:space="preserve">Scan a code</t>
  </si>
  <si>
    <t xml:space="preserve">In room, not live</t>
  </si>
  <si>
    <t xml:space="preserve">Geofence or QR placed them in the room</t>
  </si>
  <si>
    <t xml:space="preserve">Live count, a Go Live control, a duration picker and an optional zone picker</t>
  </si>
  <si>
    <t xml:space="preserve">Say plainly that nobody can see them until they tap Go Live</t>
  </si>
  <si>
    <t xml:space="preserve">F-026, F-027, F-021, F-028</t>
  </si>
  <si>
    <t xml:space="preserve">Going live</t>
  </si>
  <si>
    <t xml:space="preserve">Go Live tapped</t>
  </si>
  <si>
    <t xml:space="preserve">Brief generating state</t>
  </si>
  <si>
    <t xml:space="preserve">Under two seconds. Do not narrate.</t>
  </si>
  <si>
    <t xml:space="preserve">F-013, F-082</t>
  </si>
  <si>
    <t xml:space="preserve">Live, matches served</t>
  </si>
  <si>
    <t xml:space="preserve">Match set ready</t>
  </si>
  <si>
    <t xml:space="preserve">Three match cards</t>
  </si>
  <si>
    <t xml:space="preserve">Open a card</t>
  </si>
  <si>
    <t xml:space="preserve">Live, low density</t>
  </si>
  <si>
    <t xml:space="preserve">Fewer than four candidates</t>
  </si>
  <si>
    <t xml:space="preserve">One or two cards, plus an honest note about room size</t>
  </si>
  <si>
    <t xml:space="preserve">'Only 6 people are live right now' - honest, not apologetic</t>
  </si>
  <si>
    <t xml:space="preserve">F-015, F-028</t>
  </si>
  <si>
    <t xml:space="preserve">Live, no candidates</t>
  </si>
  <si>
    <t xml:space="preserve">Nobody matchable</t>
  </si>
  <si>
    <t xml:space="preserve">Honest empty state and what to do</t>
  </si>
  <si>
    <t xml:space="preserve">Tell them to check back - do not fabricate a match</t>
  </si>
  <si>
    <t xml:space="preserve">Degraded (polling)</t>
  </si>
  <si>
    <t xml:space="preserve">Realtime unavailable</t>
  </si>
  <si>
    <t xml:space="preserve">Identical to normal; count updates more slowly</t>
  </si>
  <si>
    <t xml:space="preserve">Do not tell the user. It should be invisible.</t>
  </si>
  <si>
    <t xml:space="preserve">Session expired</t>
  </si>
  <si>
    <t xml:space="preserve">TTL elapsed</t>
  </si>
  <si>
    <t xml:space="preserve">Clear notice that they are no longer live, and how to return</t>
  </si>
  <si>
    <t xml:space="preserve">Never disappear silently - that reads as a bug</t>
  </si>
  <si>
    <t xml:space="preserve">Go Live again</t>
  </si>
  <si>
    <t xml:space="preserve">S-08</t>
  </si>
  <si>
    <t xml:space="preserve">QR scanner</t>
  </si>
  <si>
    <t xml:space="preserve">Enter a live room</t>
  </si>
  <si>
    <t xml:space="preserve">Scan tapped</t>
  </si>
  <si>
    <t xml:space="preserve">Camera view with a framing guide</t>
  </si>
  <si>
    <t xml:space="preserve">Camera denied</t>
  </si>
  <si>
    <t xml:space="preserve">Permission refused</t>
  </si>
  <si>
    <t xml:space="preserve">Explanation and a route to settings; offer the geofence path</t>
  </si>
  <si>
    <t xml:space="preserve">Do not dead-end. There is a second way in.</t>
  </si>
  <si>
    <t xml:space="preserve">Open settings</t>
  </si>
  <si>
    <t xml:space="preserve">Bad scan</t>
  </si>
  <si>
    <t xml:space="preserve">Clear, non-technical error</t>
  </si>
  <si>
    <t xml:space="preserve">'That code isn't for an event running now'</t>
  </si>
  <si>
    <t xml:space="preserve">Try again</t>
  </si>
  <si>
    <t xml:space="preserve">S-09</t>
  </si>
  <si>
    <t xml:space="preserve">Match card</t>
  </si>
  <si>
    <t xml:space="preserve">Turn a name into an approach</t>
  </si>
  <si>
    <t xml:space="preserve">Match set served</t>
  </si>
  <si>
    <t xml:space="preserve">Explanation dominant, then role, then zone if declared</t>
  </si>
  <si>
    <t xml:space="preserve">Story shape: 'Regional director, payments. Also live, near the north bar.' The explanation is the product - give it the space.</t>
  </si>
  <si>
    <t xml:space="preserve">F-016, F-021</t>
  </si>
  <si>
    <t xml:space="preserve">Fallback explanation</t>
  </si>
  <si>
    <t xml:space="preserve">LLM failed or output rejected</t>
  </si>
  <si>
    <t xml:space="preserve">Rule-based sentence in the same treatment</t>
  </si>
  <si>
    <t xml:space="preserve">Must be indistinguishable in tone from a generated one</t>
  </si>
  <si>
    <t xml:space="preserve">Request sent</t>
  </si>
  <si>
    <t xml:space="preserve">Connect tapped</t>
  </si>
  <si>
    <t xml:space="preserve">Neutral sent state</t>
  </si>
  <si>
    <t xml:space="preserve">MUST stay neutral forever. Never resolves into a visible rejection.</t>
  </si>
  <si>
    <t xml:space="preserve">F-035, F-037</t>
  </si>
  <si>
    <t xml:space="preserve">Rate limited</t>
  </si>
  <si>
    <t xml:space="preserve">Too many requests</t>
  </si>
  <si>
    <t xml:space="preserve">Friendly cap message</t>
  </si>
  <si>
    <t xml:space="preserve">Do not shame the user</t>
  </si>
  <si>
    <t xml:space="preserve">S-10</t>
  </si>
  <si>
    <t xml:space="preserve">Incoming request</t>
  </si>
  <si>
    <t xml:space="preserve">Decide without seeing who</t>
  </si>
  <si>
    <t xml:space="preserve">Request received</t>
  </si>
  <si>
    <t xml:space="preserve">The requester's explanation and zone, WITHOUT their identity</t>
  </si>
  <si>
    <t xml:space="preserve">Story: 'she accepts in ninety seconds because she can see your reason too'. Make clear a decline is never seen by them.</t>
  </si>
  <si>
    <t xml:space="preserve">F-036, F-037, F-021</t>
  </si>
  <si>
    <t xml:space="preserve">S-11</t>
  </si>
  <si>
    <t xml:space="preserve">The payoff</t>
  </si>
  <si>
    <t xml:space="preserve">Mutual accept</t>
  </si>
  <si>
    <t xml:space="preserve">Name, photo, role, company, and a coarse venue cue</t>
  </si>
  <si>
    <t xml:space="preserve">This is the moment. Let it land - do not clutter it.</t>
  </si>
  <si>
    <t xml:space="preserve">Find them</t>
  </si>
  <si>
    <t xml:space="preserve">S-12</t>
  </si>
  <si>
    <t xml:space="preserve">Remember who and why, months later</t>
  </si>
  <si>
    <t xml:space="preserve">Opened from ledger</t>
  </si>
  <si>
    <t xml:space="preserve">Person, event, date, THEIR INTENT IN THEIR OWN WORDS, the explanation, and what you owe them</t>
  </si>
  <si>
    <t xml:space="preserve">The own-words intent and the commitment line are what make this a memory rather than a contact card</t>
  </si>
  <si>
    <t xml:space="preserve">Mark commitment done</t>
  </si>
  <si>
    <t xml:space="preserve">Other user deleted</t>
  </si>
  <si>
    <t xml:space="preserve">Counterparty deleted account</t>
  </si>
  <si>
    <t xml:space="preserve">Respectful tombstone retaining the event and explanation</t>
  </si>
  <si>
    <t xml:space="preserve">A tombstone, not an error</t>
  </si>
  <si>
    <t xml:space="preserve">F-046, F-006</t>
  </si>
  <si>
    <t xml:space="preserve">S-13</t>
  </si>
  <si>
    <t xml:space="preserve">Gate metric 2</t>
  </si>
  <si>
    <t xml:space="preserve">Default (batched)</t>
  </si>
  <si>
    <t xml:space="preserve">Event ended + 3h</t>
  </si>
  <si>
    <t xml:space="preserve">'You connected with three people tonight' then each in turn: did you meet?</t>
  </si>
  <si>
    <t xml:space="preserve">One tap per connection. Nothing else on the screen.</t>
  </si>
  <si>
    <t xml:space="preserve">In-app fallback</t>
  </si>
  <si>
    <t xml:space="preserve">Push denied</t>
  </si>
  <si>
    <t xml:space="preserve">The same batched sequence, on next open</t>
  </si>
  <si>
    <t xml:space="preserve">Identical wording to the push version</t>
  </si>
  <si>
    <t xml:space="preserve">S-14</t>
  </si>
  <si>
    <t xml:space="preserve">You (settings)</t>
  </si>
  <si>
    <t xml:space="preserve">Control and compliance</t>
  </si>
  <si>
    <t xml:space="preserve">Tab opened</t>
  </si>
  <si>
    <t xml:space="preserve">Profile, intent, notifications, privacy, export, delete</t>
  </si>
  <si>
    <t xml:space="preserve">Export and delete must be findable, not buried</t>
  </si>
  <si>
    <t xml:space="preserve">F-062, F-087</t>
  </si>
  <si>
    <t xml:space="preserve">Deleting account</t>
  </si>
  <si>
    <t xml:space="preserve">Delete tapped</t>
  </si>
  <si>
    <t xml:space="preserve">Confirmation, then progress, then done</t>
  </si>
  <si>
    <t xml:space="preserve">Say exactly what is deleted and what is anonymised</t>
  </si>
  <si>
    <t xml:space="preserve">Confirm</t>
  </si>
  <si>
    <t xml:space="preserve">S-15</t>
  </si>
  <si>
    <t xml:space="preserve">Report / Block</t>
  </si>
  <si>
    <t xml:space="preserve">Safety</t>
  </si>
  <si>
    <t xml:space="preserve">Opened from a card or connection</t>
  </si>
  <si>
    <t xml:space="preserve">Reason selection and confirmation</t>
  </si>
  <si>
    <t xml:space="preserve">Acknowledge clearly. Say what happens next.</t>
  </si>
  <si>
    <t xml:space="preserve">F-065, F-066</t>
  </si>
  <si>
    <t xml:space="preserve">Quiet connections</t>
  </si>
  <si>
    <t xml:space="preserve">Connections ageing past threshold</t>
  </si>
  <si>
    <t xml:space="preserve">A named group: 'Two have gone quiet' with elapsed days</t>
  </si>
  <si>
    <t xml:space="preserve">Story: 'tells you which ones and how long it's been'. Specific beats vague - '9 days', not a faded row.</t>
  </si>
  <si>
    <t xml:space="preserve">Choosing zone</t>
  </si>
  <si>
    <t xml:space="preserve">Operator-configured zone list for this venue, with a clear Skip</t>
  </si>
  <si>
    <t xml:space="preserve">Skipping must be a first-class option, not a dead end</t>
  </si>
  <si>
    <t xml:space="preserve">No zone declared</t>
  </si>
  <si>
    <t xml:space="preserve">Match has not declared a zone</t>
  </si>
  <si>
    <t xml:space="preserve">Card renders normally, with no zone line</t>
  </si>
  <si>
    <t xml:space="preserve">Never show 'location unknown' - just omit the line</t>
  </si>
  <si>
    <t xml:space="preserve">Usefulness question</t>
  </si>
  <si>
    <t xml:space="preserve">Answered yes to having met</t>
  </si>
  <si>
    <t xml:space="preserve">'Was it useful?' One tap.</t>
  </si>
  <si>
    <t xml:space="preserve">Only asked after a yes. Never shown to the other party.</t>
  </si>
  <si>
    <t xml:space="preserve">Yes / No</t>
  </si>
  <si>
    <t xml:space="preserve">Commitment capture</t>
  </si>
  <si>
    <t xml:space="preserve">Usefulness answered</t>
  </si>
  <si>
    <t xml:space="preserve">'Anything you owe them?' one short field</t>
  </si>
  <si>
    <t xml:space="preserve">Most people will skip. Make skipping effortless and the field tiny.</t>
  </si>
  <si>
    <t xml:space="preserve">Add / Skip</t>
  </si>
  <si>
    <t xml:space="preserve">Partially answered</t>
  </si>
  <si>
    <t xml:space="preserve">User abandoned mid-sequence</t>
  </si>
  <si>
    <t xml:space="preserve">Resumes where they left off on next open</t>
  </si>
  <si>
    <t xml:space="preserve">Never restart the sequence. Keep every answer already given.</t>
  </si>
  <si>
    <t xml:space="preserve">Continue</t>
  </si>
  <si>
    <t xml:space="preserve">Channel</t>
  </si>
  <si>
    <t xml:space="preserve">Timing</t>
  </si>
  <si>
    <t xml:space="preserve">Title</t>
  </si>
  <si>
    <t xml:space="preserve">Body</t>
  </si>
  <si>
    <t xml:space="preserve">Deep link to</t>
  </si>
  <si>
    <t xml:space="preserve">Opt-out behaviour</t>
  </si>
  <si>
    <t xml:space="preserve">Guardrail / caution</t>
  </si>
  <si>
    <t xml:space="preserve">Feature ID</t>
  </si>
  <si>
    <t xml:space="preserve">N-01</t>
  </si>
  <si>
    <t xml:space="preserve">Event morning reminder</t>
  </si>
  <si>
    <t xml:space="preserve">Event day, 08:00 local</t>
  </si>
  <si>
    <t xml:space="preserve">Ol-ga is live at [Event] today</t>
  </si>
  <si>
    <t xml:space="preserve">Scan the Ol-ga code at registration to see who's in the room.</t>
  </si>
  <si>
    <t xml:space="preserve">Suppressed if event reminders are off</t>
  </si>
  <si>
    <t xml:space="preserve">Most users will not have granted push yet - the venue QR is the real safety net</t>
  </si>
  <si>
    <t xml:space="preserve">N-02</t>
  </si>
  <si>
    <t xml:space="preserve">Immediately after Go Live</t>
  </si>
  <si>
    <t xml:space="preserve">Three people worth crossing the room for.</t>
  </si>
  <si>
    <t xml:space="preserve">Suppressed if match alerts are off</t>
  </si>
  <si>
    <t xml:space="preserve">Only ever sent while the user is Live. Never after they go offline.</t>
  </si>
  <si>
    <t xml:space="preserve">N-03</t>
  </si>
  <si>
    <t xml:space="preserve">Connect request received</t>
  </si>
  <si>
    <t xml:space="preserve">Within seconds of request</t>
  </si>
  <si>
    <t xml:space="preserve">They've explained why. Take a look before they move on.</t>
  </si>
  <si>
    <t xml:space="preserve">Suppressed if request alerts are off</t>
  </si>
  <si>
    <t xml:space="preserve">Latency matters more here than anywhere. A request seen after the event is worthless.</t>
  </si>
  <si>
    <t xml:space="preserve">N-04</t>
  </si>
  <si>
    <t xml:space="preserve">Request accepted</t>
  </si>
  <si>
    <t xml:space="preserve">Within seconds of mutual accept</t>
  </si>
  <si>
    <t xml:space="preserve">Go and find them - here's where they are.</t>
  </si>
  <si>
    <t xml:space="preserve">NEVER send anything on decline. Same invariant as silent decline.</t>
  </si>
  <si>
    <t xml:space="preserve">N-05</t>
  </si>
  <si>
    <t xml:space="preserve">Within 3 hours of event end</t>
  </si>
  <si>
    <t xml:space="preserve">You connected with three people tonight</t>
  </si>
  <si>
    <t xml:space="preserve">Did you actually meet? Three taps.</t>
  </si>
  <si>
    <t xml:space="preserve">Suppressed if outcome alerts are off - in-app fallback then carries it</t>
  </si>
  <si>
    <t xml:space="preserve">GATE METRIC 2. ONE notification for the whole event, not one per connection - batching is what makes 'three taps' possible.</t>
  </si>
  <si>
    <t xml:space="preserve">N-06</t>
  </si>
  <si>
    <t xml:space="preserve">Outcome second nudge</t>
  </si>
  <si>
    <t xml:space="preserve">72 hours after N-05, non-responders only</t>
  </si>
  <si>
    <t xml:space="preserve">You still have connections from [Event] to confirm.</t>
  </si>
  <si>
    <t xml:space="preserve">Suppressed if outcome alerts are off</t>
  </si>
  <si>
    <t xml:space="preserve">EXACTLY ONE nudge. A second reads as harassment and drives opt-out.</t>
  </si>
  <si>
    <t xml:space="preserve">N-07</t>
  </si>
  <si>
    <t xml:space="preserve">Session expiring</t>
  </si>
  <si>
    <t xml:space="preserve">In-app only</t>
  </si>
  <si>
    <t xml:space="preserve">15 minutes before TTL</t>
  </si>
  <si>
    <t xml:space="preserve">You're about to go offline</t>
  </si>
  <si>
    <t xml:space="preserve">Tap to stay live for the rest of the event.</t>
  </si>
  <si>
    <t xml:space="preserve">n/a - in-app</t>
  </si>
  <si>
    <t xml:space="preserve">Deliberately not a push. Do not notify someone who has left the venue.</t>
  </si>
  <si>
    <t xml:space="preserve">N-08</t>
  </si>
  <si>
    <t xml:space="preserve">Decay indicator</t>
  </si>
  <si>
    <t xml:space="preserve">In-app only (MVP)</t>
  </si>
  <si>
    <t xml:space="preserve">Passive, on ledger open</t>
  </si>
  <si>
    <t xml:space="preserve">(no notification)</t>
  </si>
  <si>
    <t xml:space="preserve">(visual marker only)</t>
  </si>
  <si>
    <t xml:space="preserve">DO NOT make this a push in the MVP. The ledger now names quiet connections with elapsed days, which is already assertive. Watch opt-out and uninstall rate.</t>
  </si>
  <si>
    <t xml:space="preserve">Event name</t>
  </si>
  <si>
    <t xml:space="preserve">When it fires</t>
  </si>
  <si>
    <t xml:space="preserve">Key properties</t>
  </si>
  <si>
    <t xml:space="preserve">Funnel step</t>
  </si>
  <si>
    <t xml:space="preserve">Feeds which metric</t>
  </si>
  <si>
    <t xml:space="preserve">Frozen at</t>
  </si>
  <si>
    <t xml:space="preserve">First app open</t>
  </si>
  <si>
    <t xml:space="preserve">install_source, platform, event_id</t>
  </si>
  <si>
    <t xml:space="preserve">1. Acquisition</t>
  </si>
  <si>
    <t xml:space="preserve">Live rate; cold-start machine effectiveness</t>
  </si>
  <si>
    <t xml:space="preserve">F-002, F-083</t>
  </si>
  <si>
    <t xml:space="preserve">signup_started</t>
  </si>
  <si>
    <t xml:space="preserve">Sign-in screen submitted</t>
  </si>
  <si>
    <t xml:space="preserve">method (phone/email)</t>
  </si>
  <si>
    <t xml:space="preserve">2. Sign-in</t>
  </si>
  <si>
    <t xml:space="preserve">Onboarding funnel</t>
  </si>
  <si>
    <t xml:space="preserve">signup_completed</t>
  </si>
  <si>
    <t xml:space="preserve">OTP verified</t>
  </si>
  <si>
    <t xml:space="preserve">method, seconds_from_install</t>
  </si>
  <si>
    <t xml:space="preserve">Consent accepted</t>
  </si>
  <si>
    <t xml:space="preserve">consent_version</t>
  </si>
  <si>
    <t xml:space="preserve">Compliance evidence</t>
  </si>
  <si>
    <t xml:space="preserve">Profile saved</t>
  </si>
  <si>
    <t xml:space="preserve">prefill_used, seconds</t>
  </si>
  <si>
    <t xml:space="preserve">3. Profile</t>
  </si>
  <si>
    <t xml:space="preserve">Onboarding funnel; time-to-intent</t>
  </si>
  <si>
    <t xml:space="preserve">Intent saved</t>
  </si>
  <si>
    <t xml:space="preserve">char_count, session_id, seconds_from_install (NO select fields - removed to match the story)</t>
  </si>
  <si>
    <t xml:space="preserve">4. Intent</t>
  </si>
  <si>
    <t xml:space="preserve">Intent completion rate; time-to-intent (target &lt;90s)</t>
  </si>
  <si>
    <t xml:space="preserve">Intent changed at venue</t>
  </si>
  <si>
    <t xml:space="preserve">event_id</t>
  </si>
  <si>
    <t xml:space="preserve">Whether the pre-arrival prompt is working</t>
  </si>
  <si>
    <t xml:space="preserve">Vector produced</t>
  </si>
  <si>
    <t xml:space="preserve">vendor, latency_ms, retry_count</t>
  </si>
  <si>
    <t xml:space="preserve">(technical)</t>
  </si>
  <si>
    <t xml:space="preserve">Vendor reliability</t>
  </si>
  <si>
    <t xml:space="preserve">room_entered</t>
  </si>
  <si>
    <t xml:space="preserve">Venue session created</t>
  </si>
  <si>
    <t xml:space="preserve">method (qr/geofence), event_id</t>
  </si>
  <si>
    <t xml:space="preserve">5. Presence</t>
  </si>
  <si>
    <t xml:space="preserve">Live rate denominator; QR vs geofence split</t>
  </si>
  <si>
    <t xml:space="preserve">event_id, room_size, window_minutes, zone_declared</t>
  </si>
  <si>
    <t xml:space="preserve">LIVE RATE - target 25% of checked-in attendees at peak</t>
  </si>
  <si>
    <t xml:space="preserve">went_offline</t>
  </si>
  <si>
    <t xml:space="preserve">Go Offline tapped</t>
  </si>
  <si>
    <t xml:space="preserve">session_duration_s</t>
  </si>
  <si>
    <t xml:space="preserve">Session length distribution</t>
  </si>
  <si>
    <t xml:space="preserve">reason</t>
  </si>
  <si>
    <t xml:space="preserve">Whether TTL is set correctly</t>
  </si>
  <si>
    <t xml:space="preserve">Vector search executed</t>
  </si>
  <si>
    <t xml:space="preserve">room_size, candidate_count, latency_ms</t>
  </si>
  <si>
    <t xml:space="preserve">Match latency p95 (&lt;2s)</t>
  </si>
  <si>
    <t xml:space="preserve">Hard rules executed</t>
  </si>
  <si>
    <t xml:space="preserve">filtered_count, rule_hits</t>
  </si>
  <si>
    <t xml:space="preserve">Which rules are actually firing</t>
  </si>
  <si>
    <t xml:space="preserve">LLM call completed</t>
  </si>
  <si>
    <t xml:space="preserve">latency_ms, cached, vendor</t>
  </si>
  <si>
    <t xml:space="preserve">AI cost and latency</t>
  </si>
  <si>
    <t xml:space="preserve">Validator rejected output</t>
  </si>
  <si>
    <t xml:space="preserve">AI SAFETY - target 0 reaching users</t>
  </si>
  <si>
    <t xml:space="preserve">Rule-based string served</t>
  </si>
  <si>
    <t xml:space="preserve">Match set delivered</t>
  </si>
  <si>
    <t xml:space="preserve">room_size, latency_ms, similarity_scores</t>
  </si>
  <si>
    <t xml:space="preserve">6. Match</t>
  </si>
  <si>
    <t xml:space="preserve">Time to first match (&lt;3 min median)</t>
  </si>
  <si>
    <t xml:space="preserve">F-015, F-082</t>
  </si>
  <si>
    <t xml:space="preserve">match_card_viewed</t>
  </si>
  <si>
    <t xml:space="preserve">Card rendered on screen</t>
  </si>
  <si>
    <t xml:space="preserve">position</t>
  </si>
  <si>
    <t xml:space="preserve">Whether all three are seen</t>
  </si>
  <si>
    <t xml:space="preserve">Card opened</t>
  </si>
  <si>
    <t xml:space="preserve">position, similarity</t>
  </si>
  <si>
    <t xml:space="preserve">Explanation persuasiveness</t>
  </si>
  <si>
    <t xml:space="preserve">previous_actioned_count</t>
  </si>
  <si>
    <t xml:space="preserve">Whether three is the right number</t>
  </si>
  <si>
    <t xml:space="preserve">7. Request</t>
  </si>
  <si>
    <t xml:space="preserve">REQUEST RATE - target 25% of matches served</t>
  </si>
  <si>
    <t xml:space="preserve">time_to_accept_s</t>
  </si>
  <si>
    <t xml:space="preserve">8. Accept</t>
  </si>
  <si>
    <t xml:space="preserve">ACCEPT RATE - target 40% of requests sent</t>
  </si>
  <si>
    <t xml:space="preserve">request_declined</t>
  </si>
  <si>
    <t xml:space="preserve">Declined or expired</t>
  </si>
  <si>
    <t xml:space="preserve">(AGGREGATE ONLY - never per-pair readable by the sender)</t>
  </si>
  <si>
    <t xml:space="preserve">Decline rate, internal only</t>
  </si>
  <si>
    <t xml:space="preserve">Event ended, unanswered</t>
  </si>
  <si>
    <t xml:space="preserve">Indistinguishable from decline by design</t>
  </si>
  <si>
    <t xml:space="preserve">push_permission_result</t>
  </si>
  <si>
    <t xml:space="preserve">OS prompt answered</t>
  </si>
  <si>
    <t xml:space="preserve">granted, prompted_after_first_match</t>
  </si>
  <si>
    <t xml:space="preserve">Push grant rate - guardrail on the outcome loop</t>
  </si>
  <si>
    <t xml:space="preserve">outcome_prompt_sent</t>
  </si>
  <si>
    <t xml:space="preserve">Batched prompt delivered (one per user per event)</t>
  </si>
  <si>
    <t xml:space="preserve">channel (push/in_app), connection_count</t>
  </si>
  <si>
    <t xml:space="preserve">9. Outcome</t>
  </si>
  <si>
    <t xml:space="preserve">Denominator for gate metric 2</t>
  </si>
  <si>
    <t xml:space="preserve">F-052, F-055</t>
  </si>
  <si>
    <t xml:space="preserve">72h reminder sent</t>
  </si>
  <si>
    <t xml:space="preserve">Nudge effectiveness</t>
  </si>
  <si>
    <t xml:space="preserve">outcome_logged</t>
  </si>
  <si>
    <t xml:space="preserve">A side answered</t>
  </si>
  <si>
    <t xml:space="preserve">answer (yes/no/not_yet), side, channel, position_in_sequence</t>
  </si>
  <si>
    <t xml:space="preserve">GATE METRIC 2 - dual-party logging, target 30%</t>
  </si>
  <si>
    <t xml:space="preserve">Both sides answered</t>
  </si>
  <si>
    <t xml:space="preserve">agreed, both_yes</t>
  </si>
  <si>
    <t xml:space="preserve">10. Confirmed meeting</t>
  </si>
  <si>
    <t xml:space="preserve">NORTH STAR - Confirmed Meetings</t>
  </si>
  <si>
    <t xml:space="preserve">ledger_opened</t>
  </si>
  <si>
    <t xml:space="preserve">Ledger rendered</t>
  </si>
  <si>
    <t xml:space="preserve">off_event (SERVER-COMPUTED), days_since_event</t>
  </si>
  <si>
    <t xml:space="preserve">11. Retention</t>
  </si>
  <si>
    <t xml:space="preserve">GATE METRIC 1 - week-4 off-event retention</t>
  </si>
  <si>
    <t xml:space="preserve">M0 - DEFINITION FROZEN</t>
  </si>
  <si>
    <t xml:space="preserve">F-045, F-079</t>
  </si>
  <si>
    <t xml:space="preserve">Connection detail opened</t>
  </si>
  <si>
    <t xml:space="preserve">days_since_connection, off_event</t>
  </si>
  <si>
    <t xml:space="preserve">Whether the ledger is the retention mechanic</t>
  </si>
  <si>
    <t xml:space="preserve">Report submitted</t>
  </si>
  <si>
    <t xml:space="preserve">(safety)</t>
  </si>
  <si>
    <t xml:space="preserve">Report rate guardrail (&lt;0.5%)</t>
  </si>
  <si>
    <t xml:space="preserve">Block applied</t>
  </si>
  <si>
    <t xml:space="preserve">Safety guardrail</t>
  </si>
  <si>
    <t xml:space="preserve">Fell back to polling</t>
  </si>
  <si>
    <t xml:space="preserve">duration_s</t>
  </si>
  <si>
    <t xml:space="preserve">Venue network resilience</t>
  </si>
  <si>
    <t xml:space="preserve">Kill switch flipped</t>
  </si>
  <si>
    <t xml:space="preserve">flag, value, actor</t>
  </si>
  <si>
    <t xml:space="preserve">(operational)</t>
  </si>
  <si>
    <t xml:space="preserve">Event-day incident record</t>
  </si>
  <si>
    <t xml:space="preserve">F-075, F-100</t>
  </si>
  <si>
    <t xml:space="preserve">User picks a venue zone on Go Live</t>
  </si>
  <si>
    <t xml:space="preserve">zone, event_id, skipped</t>
  </si>
  <si>
    <t xml:space="preserve">Whether the zone hint is used - and whether it lifts accept rate</t>
  </si>
  <si>
    <t xml:space="preserve">'Was it useful?' answered</t>
  </si>
  <si>
    <t xml:space="preserve">useful (yes/no), side</t>
  </si>
  <si>
    <t xml:space="preserve">Useful-meeting rate - the story's 'nine of fourteen were useful'</t>
  </si>
  <si>
    <t xml:space="preserve">A commitment line is saved</t>
  </si>
  <si>
    <t xml:space="preserve">has_text, at (outcome/ledger)</t>
  </si>
  <si>
    <t xml:space="preserve">Whether the Memory pillar is used at all - a leading indicator for week-4 retention</t>
  </si>
  <si>
    <t xml:space="preserve">A commitment is marked done</t>
  </si>
  <si>
    <t xml:space="preserve">days_open</t>
  </si>
  <si>
    <t xml:space="preserve">Whether the ledger changes behaviour, not just recall. The sharpest proof the product works.</t>
  </si>
  <si>
    <t xml:space="preserve">Profile photo added after first reveal</t>
  </si>
  <si>
    <t xml:space="preserve">prompted</t>
  </si>
  <si>
    <t xml:space="preserve">Whether the deferred-photo decision costs anything</t>
  </si>
  <si>
    <t xml:space="preserve">When</t>
  </si>
  <si>
    <t xml:space="preserve">Who</t>
  </si>
  <si>
    <t xml:space="preserve">Action</t>
  </si>
  <si>
    <t xml:space="preserve">Tool or surface</t>
  </si>
  <si>
    <t xml:space="preserve">Output</t>
  </si>
  <si>
    <t xml:space="preserve">Notes</t>
  </si>
  <si>
    <t xml:space="preserve">Event minus 6 weeks</t>
  </si>
  <si>
    <t xml:space="preserve">Founder</t>
  </si>
  <si>
    <t xml:space="preserve">Agree the registration-flow integration in writing: confirmation-email link, QR at badge pickup and tables, 30 seconds from the stage.</t>
  </si>
  <si>
    <t xml:space="preserve">Email / contract with a NAMED Organiser owner</t>
  </si>
  <si>
    <t xml:space="preserve">Written commitment</t>
  </si>
  <si>
    <t xml:space="preserve">Highest-ranked initiative in the whole roadmap, and it is not engineering work.</t>
  </si>
  <si>
    <t xml:space="preserve">Event minus 5 weeks</t>
  </si>
  <si>
    <t xml:space="preserve">Confirm event date, expected attendance and check-in process.</t>
  </si>
  <si>
    <t xml:space="preserve">Organiser conversation</t>
  </si>
  <si>
    <t xml:space="preserve">Confirmed numbers</t>
  </si>
  <si>
    <t xml:space="preserve">The live-rate denominator comes from check-in, not registrations.</t>
  </si>
  <si>
    <t xml:space="preserve">Event minus 4 weeks</t>
  </si>
  <si>
    <t xml:space="preserve">Operator</t>
  </si>
  <si>
    <t xml:space="preserve">Create the Event in the admin panel with venue, window and configuration.</t>
  </si>
  <si>
    <t xml:space="preserve">Admin panel (F-070)</t>
  </si>
  <si>
    <t xml:space="preserve">Live Event record</t>
  </si>
  <si>
    <t xml:space="preserve">A non-developer must be able to do this unaided.</t>
  </si>
  <si>
    <t xml:space="preserve">Upload the expected attendee list.</t>
  </si>
  <si>
    <t xml:space="preserve">Admin panel (F-071)</t>
  </si>
  <si>
    <t xml:space="preserve">Seeded event</t>
  </si>
  <si>
    <t xml:space="preserve">Bad rows are reported, never silently dropped.</t>
  </si>
  <si>
    <t xml:space="preserve">Generate the venue QR and send it to print.</t>
  </si>
  <si>
    <t xml:space="preserve">Admin panel (F-072)</t>
  </si>
  <si>
    <t xml:space="preserve">Print-ready QR</t>
  </si>
  <si>
    <t xml:space="preserve">Test the PRINTED artefact at badge-pickup distance and lighting, not the screen.</t>
  </si>
  <si>
    <t xml:space="preserve">Event minus 3 weeks</t>
  </si>
  <si>
    <t xml:space="preserve">Approve confirmation-email copy with the Organiser and schedule the send.</t>
  </si>
  <si>
    <t xml:space="preserve">Organiser's email platform</t>
  </si>
  <si>
    <t xml:space="preserve">Scheduled email</t>
  </si>
  <si>
    <t xml:space="preserve">Must not send before both app stores have approved.</t>
  </si>
  <si>
    <t xml:space="preserve">Event minus 2 weeks</t>
  </si>
  <si>
    <t xml:space="preserve">Run the 30-person dry run on a production build.</t>
  </si>
  <si>
    <t xml:space="preserve">Any room, 30 real devices</t>
  </si>
  <si>
    <t xml:space="preserve">Findings log</t>
  </si>
  <si>
    <t xml:space="preserve">Worth more than another week of testing. The item most likely to quietly not happen.</t>
  </si>
  <si>
    <t xml:space="preserve">Senior dev</t>
  </si>
  <si>
    <t xml:space="preserve">Exercise all four kill switches and one OTA update end to end.</t>
  </si>
  <si>
    <t xml:space="preserve">Admin panel + EAS</t>
  </si>
  <si>
    <t xml:space="preserve">Verified rollback paths</t>
  </si>
  <si>
    <t xml:space="preserve">An untested kill switch is a rumour.</t>
  </si>
  <si>
    <t xml:space="preserve">Event minus 1 week</t>
  </si>
  <si>
    <t xml:space="preserve">Confirm signage placement, stage script slot in the run sheet, and help-desk staffing.</t>
  </si>
  <si>
    <t xml:space="preserve">Organiser run sheet</t>
  </si>
  <si>
    <t xml:space="preserve">Signed-off run sheet</t>
  </si>
  <si>
    <t xml:space="preserve">Get the case-study publication permission in writing at the same time.</t>
  </si>
  <si>
    <t xml:space="preserve">Event minus 7 days</t>
  </si>
  <si>
    <t xml:space="preserve">Send the confirmation email carrying the Ol-ga deep link.</t>
  </si>
  <si>
    <t xml:space="preserve">Installs begin</t>
  </si>
  <si>
    <t xml:space="preserve">Watch click-through. Below 15% by event minus 5 days, escalate.</t>
  </si>
  <si>
    <t xml:space="preserve">Event day, setup</t>
  </si>
  <si>
    <t xml:space="preserve">Verify QR codes are in place at badge pickup and on every table; verify the Event is live in the panel.</t>
  </si>
  <si>
    <t xml:space="preserve">Physical + admin panel</t>
  </si>
  <si>
    <t xml:space="preserve">Room ready</t>
  </si>
  <si>
    <t xml:space="preserve">Walk the floor. Do not assume placement.</t>
  </si>
  <si>
    <t xml:space="preserve">Event day, opening</t>
  </si>
  <si>
    <t xml:space="preserve">30 seconds from the stage.</t>
  </si>
  <si>
    <t xml:space="preserve">Install spike</t>
  </si>
  <si>
    <t xml:space="preserve">Measurable via install_source. If it is skipped, you will see it in the data.</t>
  </si>
  <si>
    <t xml:space="preserve">Event day, throughout</t>
  </si>
  <si>
    <t xml:space="preserve">War room: watch live count, match latency, error rate, push delivery.</t>
  </si>
  <si>
    <t xml:space="preserve">Live monitoring view (F-073)</t>
  </si>
  <si>
    <t xml:space="preserve">Stable service</t>
  </si>
  <si>
    <t xml:space="preserve">Rollback criteria are written BEFORE doors open, not decided at 10am.</t>
  </si>
  <si>
    <t xml:space="preserve">Junior A</t>
  </si>
  <si>
    <t xml:space="preserve">On-site help desk.</t>
  </si>
  <si>
    <t xml:space="preserve">Help desk + canned responses</t>
  </si>
  <si>
    <t xml:space="preserve">Resolved issues</t>
  </si>
  <si>
    <t xml:space="preserve">Different person from the war-room engineer. Do not combine these.</t>
  </si>
  <si>
    <t xml:space="preserve">Named observer</t>
  </si>
  <si>
    <t xml:space="preserve">Watch ten real people onboard. Write down where they hesitate.</t>
  </si>
  <si>
    <t xml:space="preserve">Notebook</t>
  </si>
  <si>
    <t xml:space="preserve">Observation log</t>
  </si>
  <si>
    <t xml:space="preserve">The highest-quality usability data of the year, available for one evening only.</t>
  </si>
  <si>
    <t xml:space="preserve">Event end + 3 hours</t>
  </si>
  <si>
    <t xml:space="preserve">Outcome prompts fire to both sides of every accepted connection.</t>
  </si>
  <si>
    <t xml:space="preserve">Automated (F-052)</t>
  </si>
  <si>
    <t xml:space="preserve">Outcome labels</t>
  </si>
  <si>
    <t xml:space="preserve">Verify they actually sent. This can fail silently.</t>
  </si>
  <si>
    <t xml:space="preserve">Event end + 72 hours</t>
  </si>
  <si>
    <t xml:space="preserve">Second nudge to non-responders.</t>
  </si>
  <si>
    <t xml:space="preserve">Automated (F-053)</t>
  </si>
  <si>
    <t xml:space="preserve">Additional labels</t>
  </si>
  <si>
    <t xml:space="preserve">Read dual-party logging rate here. Below 15% is a redesign trigger.</t>
  </si>
  <si>
    <t xml:space="preserve">Event end + 5 working days</t>
  </si>
  <si>
    <t xml:space="preserve">Deliver the Outcome Report to the Organiser.</t>
  </si>
  <si>
    <t xml:space="preserve">Report (F-106)</t>
  </si>
  <si>
    <t xml:space="preserve">Delivered artefact</t>
  </si>
  <si>
    <t xml:space="preserve">Publish it internally even when the numbers are unflattering.</t>
  </si>
  <si>
    <t xml:space="preserve">Export the encounter graph to an Ol-ga-held file.</t>
  </si>
  <si>
    <t xml:space="preserve">Manual export</t>
  </si>
  <si>
    <t xml:space="preserve">Owned asset</t>
  </si>
  <si>
    <t xml:space="preserve">The asset must never live only inside a vendor.</t>
  </si>
  <si>
    <t xml:space="preserve">Event end + 28 days</t>
  </si>
  <si>
    <t xml:space="preserve">Read week-4 off-event retention on the M0 definitions and no others.</t>
  </si>
  <si>
    <t xml:space="preserve">Cohort dashboard (F-081)</t>
  </si>
  <si>
    <t xml:space="preserve">GATE METRIC 1</t>
  </si>
  <si>
    <t xml:space="preserve">Report D60/D90 alongside, with the acquisition-context disclosure.</t>
  </si>
  <si>
    <t xml:space="preserve">Item</t>
  </si>
  <si>
    <t xml:space="preserve">Why it's tempting</t>
  </si>
  <si>
    <t xml:space="preserve">Why not now</t>
  </si>
  <si>
    <t xml:space="preserve">Reconsider when</t>
  </si>
  <si>
    <t xml:space="preserve">In-app chat</t>
  </si>
  <si>
    <t xml:space="preserve">Every user will ask for it; every competitor has it</t>
  </si>
  <si>
    <t xml:space="preserve">It is the single feature that would stop people meeting in person. The absence of chat is the mechanism, not an omission.</t>
  </si>
  <si>
    <t xml:space="preserve">Never, in this product. If messaging is ever needed it belongs AFTER a confirmed meeting, not before.</t>
  </si>
  <si>
    <t xml:space="preserve">A feed or content surface</t>
  </si>
  <si>
    <t xml:space="preserve">It looks like engagement, and engagement charts go up</t>
  </si>
  <si>
    <t xml:space="preserve">Converts a utility into a time-sink and destroys the intent signal that makes matching work.</t>
  </si>
  <si>
    <t xml:space="preserve">No evidence this roadmap can produce would justify it.</t>
  </si>
  <si>
    <t xml:space="preserve">Continuous background proximity</t>
  </si>
  <si>
    <t xml:space="preserve">It is the 'real' version of the idea and it demos beautifully</t>
  </si>
  <si>
    <t xml:space="preserve">iOS background BLE limits, Android OEM battery behaviour, a 9-hour day, App Review risk, and standing PDPA/DPDP liability. Costs ~6 weeks and buys a rejection risk.</t>
  </si>
  <si>
    <t xml:space="preserve">Phase 2 co-working only, as FIXED BEACONS at a known venue with region monitoring (P2-03) - a tractable and genuinely different problem.</t>
  </si>
  <si>
    <t xml:space="preserve">Self-serve organiser console</t>
  </si>
  <si>
    <t xml:space="preserve">It is how this becomes a product business rather than a services one</t>
  </si>
  <si>
    <t xml:space="preserve">6-8 developer-weeks that would come directly out of the Ledger and the Outcome Prompt.</t>
  </si>
  <si>
    <t xml:space="preserve">FIVE paying organisers. Until then, concierge delivery teaches you what the console should be. (P2-06 to P2-09)</t>
  </si>
  <si>
    <t xml:space="preserve">Consumer paid tier / in-app billing</t>
  </si>
  <si>
    <t xml:space="preserve">The stated business model is subscription</t>
  </si>
  <si>
    <t xml:space="preserve">Nothing to charge for before the gate metric, and the evidence caps consumer conversion at 2-4% of WAU. Building billing now buys a store-compliance surface and no revenue.</t>
  </si>
  <si>
    <t xml:space="preserve">Week-4 off-event retention at or above 8% across TWO cohorts.</t>
  </si>
  <si>
    <t xml:space="preserve">Recruiter / BD seats at $200/month</t>
  </si>
  <si>
    <t xml:space="preserve">It is the highest-value line in the model</t>
  </si>
  <si>
    <t xml:space="preserve">Prices above LinkedIn Sales Navigator Advanced and above Apollo's top tier. Only defensible if real-time presence intent demonstrably beats database intent.</t>
  </si>
  <si>
    <t xml:space="preserve">First encounter-graph analysis showing intro-to-meeting-to-outcome conversion. Then launch at $99-$149. (P2-15)</t>
  </si>
  <si>
    <t xml:space="preserve">India launch</t>
  </si>
  <si>
    <t xml:space="preserve">Large market; the original plan; DPDP timing looks manageable</t>
  </si>
  <si>
    <t xml:space="preserve">The India-first launch was dropped definitively. Two regimes, two acquisition motions and two organiser networks across three developers, before a single gate metric exists.</t>
  </si>
  <si>
    <t xml:space="preserve">Two Malaysian cohorts clearing the gate, plus a DPDP Consent-Manager-compatible consent flow already in place. (P2-16)</t>
  </si>
  <si>
    <t xml:space="preserve">Telco / OEM distribution</t>
  </si>
  <si>
    <t xml:space="preserve">It is the Series A moat story</t>
  </si>
  <si>
    <t xml:space="preserve">A Series A unlock, not a pre-seed one. The honest precedent is OEM pre-install and strategic-investor placement, not telco subscriber bundling - and a partner controlling the network layer can commoditise your feature.</t>
  </si>
  <si>
    <t xml:space="preserve">Post-Series-A, and only with the encounter graph as the retained asset rather than the proximity layer.</t>
  </si>
  <si>
    <t xml:space="preserve">Contact import / persistent social graph</t>
  </si>
  <si>
    <t xml:space="preserve">It would make the ledger look full on day one</t>
  </si>
  <si>
    <t xml:space="preserve">The encounter graph's value comes from being earned and outcome-labelled. Importing contacts fills it with exactly the edges that carry no signal.</t>
  </si>
  <si>
    <t xml:space="preserve">Not on this thesis.</t>
  </si>
  <si>
    <t xml:space="preserve">Web app, tablet, landscape, localisation</t>
  </si>
  <si>
    <t xml:space="preserve">Cheap-looking, frequently requested</t>
  </si>
  <si>
    <t xml:space="preserve">Each is a permanent maintenance tax on a three-person team, with zero evidence of demand.</t>
  </si>
  <si>
    <t xml:space="preserve">Real demand from a paying organiser, in writing. (P2-17)</t>
  </si>
  <si>
    <t xml:space="preserve">Company pages, groups, sponsor booths</t>
  </si>
  <si>
    <t xml:space="preserve">Organisers will ask for them</t>
  </si>
  <si>
    <t xml:space="preserve">This is the event-tech feature set - the thing Grip and Brella already do well and sell against you.</t>
  </si>
  <si>
    <t xml:space="preserve">Only if you deliberately choose the B2B default after the month-9 checkpoint. Then it becomes the roadmap.</t>
  </si>
  <si>
    <t xml:space="preserve">Profile depth beyond what matching consumes</t>
  </si>
  <si>
    <t xml:space="preserve">It feels incomplete without it</t>
  </si>
  <si>
    <t xml:space="preserve">Every extra field lengthens onboarding, which is measured, and none of them improve matching.</t>
  </si>
  <si>
    <t xml:space="preserve">A specific field is shown to improve accept rate in an encounter-graph analysis.</t>
  </si>
  <si>
    <t xml:space="preserve">A/B testing infrastructure</t>
  </si>
  <si>
    <t xml:space="preserve">Good practice</t>
  </si>
  <si>
    <t xml:space="preserve">With one event and n~200 there is no statistical power, and splitting halves an already-thin cohort.</t>
  </si>
  <si>
    <t xml:space="preserve">Three or more cohorts per quarter.</t>
  </si>
  <si>
    <t xml:space="preserve">Custom NLP or a trained model</t>
  </si>
  <si>
    <t xml:space="preserve">It sounds like the moat</t>
  </si>
  <si>
    <t xml:space="preserve">The moat is the outcome-labelled encounter graph, not the matching layer. Embeddings are rented commodity and always will be.</t>
  </si>
  <si>
    <t xml:space="preserve">Never in this horizon. Revisit only when the graph itself is large enough to train on.</t>
  </si>
  <si>
    <t xml:space="preserve">Name</t>
  </si>
  <si>
    <t xml:space="preserve">Due</t>
  </si>
  <si>
    <t xml:space="preserve">Acceptance criterion</t>
  </si>
  <si>
    <t xml:space="preserve">Binary test</t>
  </si>
  <si>
    <t xml:space="preserve">Payment</t>
  </si>
  <si>
    <t xml:space="preserve">Foundations</t>
  </si>
  <si>
    <t xml:space="preserve">End W1 - Sun 13 Sep</t>
  </si>
  <si>
    <t xml:space="preserve">App installs on a real iPhone AND a real Android from CI</t>
  </si>
  <si>
    <t xml:space="preserve">Binary: install both, from CI, on physical devices</t>
  </si>
  <si>
    <t xml:space="preserve">10%</t>
  </si>
  <si>
    <t xml:space="preserve">Typed API contracts published and mocked</t>
  </si>
  <si>
    <t xml:space="preserve">Binary: a junior builds a screen against the mock with no backend</t>
  </si>
  <si>
    <t xml:space="preserve">Analytics taxonomy signed off by founder and senior developer</t>
  </si>
  <si>
    <t xml:space="preserve">Binary: signed document exists</t>
  </si>
  <si>
    <t xml:space="preserve">F + SD</t>
  </si>
  <si>
    <t xml:space="preserve">Off-event definition implemented server-side with a CI test that fails on change</t>
  </si>
  <si>
    <t xml:space="preserve">Binary: edit the definition, watch CI fail</t>
  </si>
  <si>
    <t xml:space="preserve">Privacy invariants reviewed against the data model - no lat/long column exists anywhere</t>
  </si>
  <si>
    <t xml:space="preserve">Binary: schema review signed</t>
  </si>
  <si>
    <t xml:space="preserve">SD + F</t>
  </si>
  <si>
    <t xml:space="preserve">Presence decision recorded in writing; final technical authority named</t>
  </si>
  <si>
    <t xml:space="preserve">Binary: memo circulated to all three developers</t>
  </si>
  <si>
    <t xml:space="preserve">EAS Update configured; crash reporting live</t>
  </si>
  <si>
    <t xml:space="preserve">Binary: both wired in the first build</t>
  </si>
  <si>
    <t xml:space="preserve">Identity &amp; intent</t>
  </si>
  <si>
    <t xml:space="preserve">End W3 - Sun 27 Sep</t>
  </si>
  <si>
    <t xml:space="preserve">New user signs in, completes profile and submits intent from a ticket-email link</t>
  </si>
  <si>
    <t xml:space="preserve">Binary: end-to-end on a real device from a real email</t>
  </si>
  <si>
    <t xml:space="preserve">15%</t>
  </si>
  <si>
    <t xml:space="preserve">SD + JA</t>
  </si>
  <si>
    <t xml:space="preserve">An event can be created and seeded from the admin panel by a non-developer</t>
  </si>
  <si>
    <t xml:space="preserve">Binary: founder does it unaided</t>
  </si>
  <si>
    <t xml:space="preserve">Data export and delete endpoints working from the user-facing screen</t>
  </si>
  <si>
    <t xml:space="preserve">Binary: delete an account, verify the data is gone</t>
  </si>
  <si>
    <t xml:space="preserve">Live Room &amp; matching</t>
  </si>
  <si>
    <t xml:space="preserve">GATE Thu 15 Oct - formal Sun 18 Oct</t>
  </si>
  <si>
    <t xml:space="preserve">Two devices scan the venue QR and both appear live</t>
  </si>
  <si>
    <t xml:space="preserve">Binary: two physical phones, one room</t>
  </si>
  <si>
    <t xml:space="preserve">25%</t>
  </si>
  <si>
    <t xml:space="preserve">Each receives three matches, each with a written explanation</t>
  </si>
  <si>
    <t xml:space="preserve">Binary: three cards, three sentences</t>
  </si>
  <si>
    <t xml:space="preserve">Behaves correctly with only 8 people live</t>
  </si>
  <si>
    <t xml:space="preserve">Binary: tested at room size 8</t>
  </si>
  <si>
    <t xml:space="preserve">p95 match latency under 2s at 400 simulated live users</t>
  </si>
  <si>
    <t xml:space="preserve">Binary: latency histogram</t>
  </si>
  <si>
    <t xml:space="preserve">Running in TestFlight for 12+ internal testers</t>
  </si>
  <si>
    <t xml:space="preserve">Binary: tester count</t>
  </si>
  <si>
    <t xml:space="preserve">Founder review of 100 explanations: zero unsupported entities</t>
  </si>
  <si>
    <t xml:space="preserve">Binary: review log</t>
  </si>
  <si>
    <t xml:space="preserve">Connect &amp; ledger</t>
  </si>
  <si>
    <t xml:space="preserve">End W9 - Sun 8 Nov</t>
  </si>
  <si>
    <t xml:space="preserve">Request to accept to identity revealed to ledger entry, end to end</t>
  </si>
  <si>
    <t xml:space="preserve">Binary: full loop on two devices</t>
  </si>
  <si>
    <t xml:space="preserve">Decline is silent and unobservable AT THE DATABASE LAYER</t>
  </si>
  <si>
    <t xml:space="preserve">Binary: adversarial test passes in CI</t>
  </si>
  <si>
    <t xml:space="preserve">Push delivered on both platforms above 95%</t>
  </si>
  <si>
    <t xml:space="preserve">Binary: delivery report</t>
  </si>
  <si>
    <t xml:space="preserve">Post-event prompt fires and BOTH sides can log an outcome</t>
  </si>
  <si>
    <t xml:space="preserve">Binary: two devices, two answers, agreement flag set</t>
  </si>
  <si>
    <t xml:space="preserve">SD + JB</t>
  </si>
  <si>
    <t xml:space="preserve">Retention dashboard renders a seeded cohort curve</t>
  </si>
  <si>
    <t xml:space="preserve">Binary: curve visible before it is needed</t>
  </si>
  <si>
    <t xml:space="preserve">Hardened &amp; submitted</t>
  </si>
  <si>
    <t xml:space="preserve">End W11 - Sun 22 Nov</t>
  </si>
  <si>
    <t xml:space="preserve">1,000 simulated concurrent live users held</t>
  </si>
  <si>
    <t xml:space="preserve">Binary: load report</t>
  </si>
  <si>
    <t xml:space="preserve">Full-day (9h) battery test passed on a MID-RANGE Android</t>
  </si>
  <si>
    <t xml:space="preserve">Binary: device test, not a flagship</t>
  </si>
  <si>
    <t xml:space="preserve">Degrades to polling invisibly on a throttled network</t>
  </si>
  <si>
    <t xml:space="preserve">Binary: verified under deliberate throttling at the dry run</t>
  </si>
  <si>
    <t xml:space="preserve">All four kill switches exercised; one OTA update pushed end to end</t>
  </si>
  <si>
    <t xml:space="preserve">Binary: each flipped and observed</t>
  </si>
  <si>
    <t xml:space="preserve">30-person dry run completed; zero P0 open</t>
  </si>
  <si>
    <t xml:space="preserve">Binary: findings log closed</t>
  </si>
  <si>
    <t xml:space="preserve">Malaysian counsel sign-off on privacy notice, consent copy, DPO, breach runbook</t>
  </si>
  <si>
    <t xml:space="preserve">LAUNCH GATE - binary: signed pack</t>
  </si>
  <si>
    <t xml:space="preserve">F + counsel</t>
  </si>
  <si>
    <t xml:space="preserve">Submitted to both stores; native freeze declared</t>
  </si>
  <si>
    <t xml:space="preserve">Binary: submission receipts</t>
  </si>
  <si>
    <t xml:space="preserve">Event &amp; report</t>
  </si>
  <si>
    <t xml:space="preserve">Event + 4 weeks</t>
  </si>
  <si>
    <t xml:space="preserve">On site through event day; zero unresolved P0</t>
  </si>
  <si>
    <t xml:space="preserve">Binary: incident log closed</t>
  </si>
  <si>
    <t xml:space="preserve">All</t>
  </si>
  <si>
    <t xml:space="preserve">Dual-party outcome-logging rate reported on M0 definitions</t>
  </si>
  <si>
    <t xml:space="preserve">GATE METRIC 2 - target 30%</t>
  </si>
  <si>
    <t xml:space="preserve">Week-4 off-event retention reported on M0 definitions</t>
  </si>
  <si>
    <t xml:space="preserve">GATE METRIC 1 - ladder: &lt;6% norm / 8-12% strong / 15%+ top decile</t>
  </si>
  <si>
    <t xml:space="preserve">Organiser Outcome Report delivered within 5 working days of event end</t>
  </si>
  <si>
    <t xml:space="preserve">Binary: delivered artefact</t>
  </si>
  <si>
    <t xml:space="preserve">Total</t>
  </si>
  <si>
    <t xml:space="preserve">Sum of milestone payments (must equal 100%)</t>
  </si>
</sst>
</file>

<file path=xl/styles.xml><?xml version="1.0" encoding="utf-8"?>
<styleSheet xmlns="http://schemas.openxmlformats.org/spreadsheetml/2006/main">
  <numFmts count="3">
    <numFmt numFmtId="164" formatCode="General"/>
    <numFmt numFmtId="165" formatCode="General"/>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20"/>
      <color rgb="FF5B3DF5"/>
      <name val="Arial"/>
      <family val="0"/>
      <charset val="1"/>
    </font>
    <font>
      <b val="true"/>
      <sz val="14"/>
      <color rgb="FF111111"/>
      <name val="Arial"/>
      <family val="0"/>
      <charset val="1"/>
    </font>
    <font>
      <sz val="10"/>
      <color rgb="FF111111"/>
      <name val="Arial"/>
      <family val="0"/>
      <charset val="1"/>
    </font>
    <font>
      <b val="true"/>
      <sz val="10"/>
      <color rgb="FF5B3DF5"/>
      <name val="Arial"/>
      <family val="0"/>
      <charset val="1"/>
    </font>
    <font>
      <sz val="10"/>
      <name val="Arial"/>
      <family val="0"/>
      <charset val="1"/>
    </font>
    <font>
      <b val="true"/>
      <sz val="10"/>
      <color rgb="FFA5211D"/>
      <name val="Arial"/>
      <family val="0"/>
      <charset val="1"/>
    </font>
    <font>
      <b val="true"/>
      <sz val="10"/>
      <name val="Arial"/>
      <family val="0"/>
      <charset val="1"/>
    </font>
    <font>
      <b val="true"/>
      <sz val="10"/>
      <color rgb="FFFFFFFF"/>
      <name val="Arial"/>
      <family val="0"/>
      <charset val="1"/>
    </font>
  </fonts>
  <fills count="10">
    <fill>
      <patternFill patternType="none"/>
    </fill>
    <fill>
      <patternFill patternType="gray125"/>
    </fill>
    <fill>
      <patternFill patternType="solid">
        <fgColor rgb="FFFCF0DC"/>
        <bgColor rgb="FFF1EFE9"/>
      </patternFill>
    </fill>
    <fill>
      <patternFill patternType="solid">
        <fgColor rgb="FFFBE3E1"/>
        <bgColor rgb="FFEDEBE4"/>
      </patternFill>
    </fill>
    <fill>
      <patternFill patternType="solid">
        <fgColor rgb="FF111111"/>
        <bgColor rgb="FF000000"/>
      </patternFill>
    </fill>
    <fill>
      <patternFill patternType="solid">
        <fgColor rgb="FFEAF6EE"/>
        <bgColor rgb="FFEFF4FB"/>
      </patternFill>
    </fill>
    <fill>
      <patternFill patternType="solid">
        <fgColor rgb="FFEDEBE4"/>
        <bgColor rgb="FFF1EFE9"/>
      </patternFill>
    </fill>
    <fill>
      <patternFill patternType="solid">
        <fgColor rgb="FFEDE9FE"/>
        <bgColor rgb="FFEFF4FB"/>
      </patternFill>
    </fill>
    <fill>
      <patternFill patternType="solid">
        <fgColor rgb="FFEFF4FB"/>
        <bgColor rgb="FFEAF6EE"/>
      </patternFill>
    </fill>
    <fill>
      <patternFill patternType="solid">
        <fgColor rgb="FFF1EFE9"/>
        <bgColor rgb="FFEDEBE4"/>
      </patternFill>
    </fill>
  </fills>
  <borders count="2">
    <border diagonalUp="false" diagonalDown="false">
      <left/>
      <right/>
      <top/>
      <bottom/>
      <diagonal/>
    </border>
    <border diagonalUp="false" diagonalDown="false">
      <left style="thin">
        <color rgb="FFDCD8CC"/>
      </left>
      <right style="thin">
        <color rgb="FFDCD8CC"/>
      </right>
      <top style="thin">
        <color rgb="FFDCD8CC"/>
      </top>
      <bottom style="thin">
        <color rgb="FFDCD8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11111"/>
          <bgColor rgb="FF000000"/>
        </patternFill>
      </fill>
    </dxf>
    <dxf>
      <fill>
        <patternFill patternType="solid">
          <bgColor rgb="FF000000"/>
        </patternFill>
      </fill>
    </dxf>
    <dxf>
      <fill>
        <patternFill patternType="solid">
          <fgColor rgb="FFFFFFFF"/>
          <bgColor rgb="FF000000"/>
        </patternFill>
      </fill>
    </dxf>
    <dxf>
      <fill>
        <patternFill patternType="solid">
          <fgColor rgb="FFEAF6EE"/>
          <bgColor rgb="FF000000"/>
        </patternFill>
      </fill>
    </dxf>
    <dxf>
      <fill>
        <patternFill patternType="solid">
          <fgColor rgb="FFEDE9FE"/>
          <bgColor rgb="FF000000"/>
        </patternFill>
      </fill>
    </dxf>
    <dxf>
      <fill>
        <patternFill patternType="solid">
          <fgColor rgb="FFEDEBE4"/>
          <bgColor rgb="FF000000"/>
        </patternFill>
      </fill>
    </dxf>
    <dxf>
      <fill>
        <patternFill patternType="solid">
          <fgColor rgb="FFFBE3E1"/>
          <bgColor rgb="FF000000"/>
        </patternFill>
      </fill>
    </dxf>
    <dxf>
      <fill>
        <patternFill patternType="solid">
          <fgColor rgb="FFFCF0DC"/>
          <bgColor rgb="FF000000"/>
        </patternFill>
      </fill>
    </dxf>
    <dxf>
      <fill>
        <patternFill patternType="solid">
          <fgColor rgb="FFEFF4FB"/>
          <bgColor rgb="FF000000"/>
        </patternFill>
      </fill>
    </dxf>
    <dxf>
      <fill>
        <patternFill patternType="solid">
          <fgColor rgb="FFF1EFE9"/>
          <bgColor rgb="FF000000"/>
        </patternFill>
      </fill>
    </dxf>
  </dxfs>
  <colors>
    <indexedColors>
      <rgbColor rgb="FF000000"/>
      <rgbColor rgb="FFFFFFFF"/>
      <rgbColor rgb="FFFF0000"/>
      <rgbColor rgb="FF00FF00"/>
      <rgbColor rgb="FF0000FF"/>
      <rgbColor rgb="FFFFFF00"/>
      <rgbColor rgb="FFFF00FF"/>
      <rgbColor rgb="FF00FFFF"/>
      <rgbColor rgb="FF800000"/>
      <rgbColor rgb="FF1B6B37"/>
      <rgbColor rgb="FF000080"/>
      <rgbColor rgb="FF9A5B08"/>
      <rgbColor rgb="FF800080"/>
      <rgbColor rgb="FF008080"/>
      <rgbColor rgb="FFEDE9FE"/>
      <rgbColor rgb="FF808080"/>
      <rgbColor rgb="FF9C87FF"/>
      <rgbColor rgb="FF993366"/>
      <rgbColor rgb="FFFCF0DC"/>
      <rgbColor rgb="FFEAF6EE"/>
      <rgbColor rgb="FF660066"/>
      <rgbColor rgb="FFFF8080"/>
      <rgbColor rgb="FF0066CC"/>
      <rgbColor rgb="FFDCD8CC"/>
      <rgbColor rgb="FF000080"/>
      <rgbColor rgb="FFFF00FF"/>
      <rgbColor rgb="FFFFFF00"/>
      <rgbColor rgb="FF00FFFF"/>
      <rgbColor rgb="FF800080"/>
      <rgbColor rgb="FF800000"/>
      <rgbColor rgb="FF008080"/>
      <rgbColor rgb="FF0000FF"/>
      <rgbColor rgb="FF00CCFF"/>
      <rgbColor rgb="FFEFF4FB"/>
      <rgbColor rgb="FFEDEBE4"/>
      <rgbColor rgb="FFF1EFE9"/>
      <rgbColor rgb="FF99CCFF"/>
      <rgbColor rgb="FFFF99CC"/>
      <rgbColor rgb="FFCC99FF"/>
      <rgbColor rgb="FFFBE3E1"/>
      <rgbColor rgb="FF3366FF"/>
      <rgbColor rgb="FF33CCCC"/>
      <rgbColor rgb="FF99CC00"/>
      <rgbColor rgb="FFFFCC00"/>
      <rgbColor rgb="FFFF9900"/>
      <rgbColor rgb="FFFF6600"/>
      <rgbColor rgb="FF666699"/>
      <rgbColor rgb="FF969696"/>
      <rgbColor rgb="FF003366"/>
      <rgbColor rgb="FF339966"/>
      <rgbColor rgb="FF111111"/>
      <rgbColor rgb="FF333300"/>
      <rgbColor rgb="FFA5211D"/>
      <rgbColor rgb="FF993366"/>
      <rgbColor rgb="FF5B3DF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1111"/>
    <pageSetUpPr fitToPage="false"/>
  </sheetPr>
  <dimension ref="A1:C6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96"/>
  </cols>
  <sheetData>
    <row r="1" customFormat="false" ht="24.45" hidden="false" customHeight="false" outlineLevel="0" collapsed="false">
      <c r="A1" s="1" t="s">
        <v>0</v>
      </c>
    </row>
    <row r="2" customFormat="false" ht="48.5" hidden="false" customHeight="false" outlineLevel="0" collapsed="false">
      <c r="A2" s="2" t="s">
        <v>1</v>
      </c>
    </row>
    <row r="3" customFormat="false" ht="35.05" hidden="false" customHeight="false" outlineLevel="0" collapsed="false">
      <c r="A3" s="3" t="s">
        <v>2</v>
      </c>
    </row>
    <row r="5" customFormat="false" ht="15" hidden="false" customHeight="false" outlineLevel="0" collapsed="false">
      <c r="A5" s="4" t="s">
        <v>3</v>
      </c>
    </row>
    <row r="6" customFormat="false" ht="35.05" hidden="false" customHeight="false" outlineLevel="0" collapsed="false">
      <c r="A6" s="3"/>
      <c r="C6" s="5" t="s">
        <v>4</v>
      </c>
    </row>
    <row r="7" customFormat="false" ht="35.05" hidden="false" customHeight="false" outlineLevel="0" collapsed="false">
      <c r="A7" s="3"/>
      <c r="C7" s="5" t="s">
        <v>5</v>
      </c>
    </row>
    <row r="8" customFormat="false" ht="35.05" hidden="false" customHeight="false" outlineLevel="0" collapsed="false">
      <c r="A8" s="6"/>
      <c r="B8" s="7"/>
      <c r="C8" s="8" t="s">
        <v>6</v>
      </c>
    </row>
    <row r="9" customFormat="false" ht="23.85" hidden="false" customHeight="false" outlineLevel="0" collapsed="false">
      <c r="A9" s="9" t="s">
        <v>7</v>
      </c>
    </row>
    <row r="10" customFormat="false" ht="46.25" hidden="false" customHeight="false" outlineLevel="0" collapsed="false">
      <c r="A10" s="10"/>
      <c r="B10" s="11"/>
      <c r="C10" s="12" t="s">
        <v>8</v>
      </c>
    </row>
    <row r="11" customFormat="false" ht="35.05" hidden="false" customHeight="false" outlineLevel="0" collapsed="false">
      <c r="A11" s="3"/>
      <c r="C11" s="5" t="s">
        <v>9</v>
      </c>
    </row>
    <row r="13" customFormat="false" ht="15" hidden="false" customHeight="false" outlineLevel="0" collapsed="false">
      <c r="A13" s="4" t="s">
        <v>10</v>
      </c>
    </row>
    <row r="14" customFormat="false" ht="23.85" hidden="false" customHeight="false" outlineLevel="0" collapsed="false">
      <c r="A14" s="13" t="s">
        <v>11</v>
      </c>
      <c r="C14" s="5" t="s">
        <v>12</v>
      </c>
    </row>
    <row r="15" customFormat="false" ht="23.85" hidden="false" customHeight="false" outlineLevel="0" collapsed="false">
      <c r="A15" s="13" t="s">
        <v>13</v>
      </c>
      <c r="C15" s="5" t="s">
        <v>14</v>
      </c>
    </row>
    <row r="16" customFormat="false" ht="23.85" hidden="false" customHeight="false" outlineLevel="0" collapsed="false">
      <c r="A16" s="13" t="s">
        <v>15</v>
      </c>
      <c r="C16" s="5" t="s">
        <v>16</v>
      </c>
    </row>
    <row r="17" customFormat="false" ht="15" hidden="false" customHeight="false" outlineLevel="0" collapsed="false">
      <c r="A17" s="13" t="s">
        <v>17</v>
      </c>
      <c r="C17" s="5" t="s">
        <v>18</v>
      </c>
    </row>
    <row r="18" customFormat="false" ht="23.85" hidden="false" customHeight="false" outlineLevel="0" collapsed="false">
      <c r="A18" s="13" t="s">
        <v>19</v>
      </c>
      <c r="C18" s="5" t="s">
        <v>20</v>
      </c>
    </row>
    <row r="19" customFormat="false" ht="23.85" hidden="false" customHeight="false" outlineLevel="0" collapsed="false">
      <c r="A19" s="13" t="s">
        <v>21</v>
      </c>
      <c r="C19" s="5" t="s">
        <v>22</v>
      </c>
    </row>
    <row r="20" customFormat="false" ht="15" hidden="false" customHeight="false" outlineLevel="0" collapsed="false">
      <c r="A20" s="13" t="s">
        <v>23</v>
      </c>
      <c r="C20" s="5" t="s">
        <v>24</v>
      </c>
    </row>
    <row r="21" customFormat="false" ht="23.85" hidden="false" customHeight="false" outlineLevel="0" collapsed="false">
      <c r="A21" s="13" t="s">
        <v>25</v>
      </c>
      <c r="C21" s="5" t="s">
        <v>26</v>
      </c>
    </row>
    <row r="22" customFormat="false" ht="23.85" hidden="false" customHeight="false" outlineLevel="0" collapsed="false">
      <c r="A22" s="13" t="s">
        <v>27</v>
      </c>
      <c r="C22" s="5" t="s">
        <v>28</v>
      </c>
    </row>
    <row r="23" customFormat="false" ht="15" hidden="false" customHeight="false" outlineLevel="0" collapsed="false">
      <c r="A23" s="13" t="s">
        <v>29</v>
      </c>
      <c r="C23" s="5" t="s">
        <v>30</v>
      </c>
    </row>
    <row r="24" customFormat="false" ht="23.85" hidden="false" customHeight="false" outlineLevel="0" collapsed="false">
      <c r="A24" s="13" t="s">
        <v>31</v>
      </c>
      <c r="C24" s="5" t="s">
        <v>32</v>
      </c>
    </row>
    <row r="26" customFormat="false" ht="15" hidden="false" customHeight="false" outlineLevel="0" collapsed="false">
      <c r="A26" s="4" t="s">
        <v>33</v>
      </c>
    </row>
    <row r="27" customFormat="false" ht="15" hidden="false" customHeight="false" outlineLevel="0" collapsed="false">
      <c r="A27" s="13" t="s">
        <v>34</v>
      </c>
      <c r="C27" s="5" t="s">
        <v>35</v>
      </c>
    </row>
    <row r="28" customFormat="false" ht="15" hidden="false" customHeight="false" outlineLevel="0" collapsed="false">
      <c r="A28" s="13" t="s">
        <v>36</v>
      </c>
      <c r="C28" s="5" t="s">
        <v>37</v>
      </c>
    </row>
    <row r="29" customFormat="false" ht="15" hidden="false" customHeight="false" outlineLevel="0" collapsed="false">
      <c r="A29" s="13" t="s">
        <v>38</v>
      </c>
      <c r="C29" s="5" t="s">
        <v>39</v>
      </c>
    </row>
    <row r="30" customFormat="false" ht="15" hidden="false" customHeight="false" outlineLevel="0" collapsed="false">
      <c r="A30" s="13" t="s">
        <v>40</v>
      </c>
      <c r="C30" s="5" t="s">
        <v>41</v>
      </c>
    </row>
    <row r="31" customFormat="false" ht="23.85" hidden="false" customHeight="false" outlineLevel="0" collapsed="false">
      <c r="A31" s="13" t="s">
        <v>42</v>
      </c>
      <c r="C31" s="5" t="s">
        <v>43</v>
      </c>
    </row>
    <row r="32" customFormat="false" ht="23.85" hidden="false" customHeight="false" outlineLevel="0" collapsed="false">
      <c r="A32" s="13" t="s">
        <v>44</v>
      </c>
      <c r="C32" s="5" t="s">
        <v>45</v>
      </c>
    </row>
    <row r="33" customFormat="false" ht="15" hidden="false" customHeight="false" outlineLevel="0" collapsed="false">
      <c r="A33" s="13" t="s">
        <v>46</v>
      </c>
      <c r="C33" s="5" t="s">
        <v>47</v>
      </c>
    </row>
    <row r="35" customFormat="false" ht="15" hidden="false" customHeight="false" outlineLevel="0" collapsed="false">
      <c r="A35" s="9" t="s">
        <v>48</v>
      </c>
    </row>
    <row r="36" customFormat="false" ht="46.25" hidden="false" customHeight="false" outlineLevel="0" collapsed="false">
      <c r="A36" s="3"/>
      <c r="C36" s="5" t="s">
        <v>49</v>
      </c>
    </row>
    <row r="37" customFormat="false" ht="57.45" hidden="false" customHeight="false" outlineLevel="0" collapsed="false">
      <c r="A37" s="6"/>
      <c r="B37" s="7"/>
      <c r="C37" s="8" t="s">
        <v>50</v>
      </c>
    </row>
    <row r="39" customFormat="false" ht="23.85" hidden="false" customHeight="false" outlineLevel="0" collapsed="false">
      <c r="A39" s="4" t="s">
        <v>51</v>
      </c>
    </row>
    <row r="40" customFormat="false" ht="15" hidden="false" customHeight="false" outlineLevel="0" collapsed="false">
      <c r="A40" s="14" t="s">
        <v>52</v>
      </c>
      <c r="B40" s="15" t="n">
        <f aca="false">COUNTIF('Feature Register'!$A$2:$A$200,"F-*")</f>
        <v>79</v>
      </c>
    </row>
    <row r="41" customFormat="false" ht="15" hidden="false" customHeight="false" outlineLevel="0" collapsed="false">
      <c r="A41" s="14" t="s">
        <v>53</v>
      </c>
      <c r="B41" s="15" t="n">
        <f aca="false">COUNTIF('Feature Register'!$H$2:$H$200,"P0")</f>
        <v>72</v>
      </c>
    </row>
    <row r="42" customFormat="false" ht="15" hidden="false" customHeight="false" outlineLevel="0" collapsed="false">
      <c r="A42" s="14" t="s">
        <v>54</v>
      </c>
      <c r="B42" s="15" t="n">
        <f aca="false">COUNTIF('Feature Register'!$H$2:$H$200,"P1")</f>
        <v>6</v>
      </c>
    </row>
    <row r="43" customFormat="false" ht="15" hidden="false" customHeight="false" outlineLevel="0" collapsed="false">
      <c r="A43" s="14" t="s">
        <v>55</v>
      </c>
      <c r="B43" s="15" t="n">
        <f aca="false">COUNTIF('Feature Register'!$H$2:$H$200,"P2")</f>
        <v>1</v>
      </c>
    </row>
    <row r="44" customFormat="false" ht="15" hidden="false" customHeight="false" outlineLevel="0" collapsed="false">
      <c r="A44" s="14" t="s">
        <v>56</v>
      </c>
      <c r="B44" s="15" t="n">
        <f aca="false">COUNTIF('Feature Register'!$I$2:$I$200,"M0")</f>
        <v>4</v>
      </c>
    </row>
    <row r="45" customFormat="false" ht="15" hidden="false" customHeight="false" outlineLevel="0" collapsed="false">
      <c r="A45" s="14" t="s">
        <v>57</v>
      </c>
      <c r="B45" s="15" t="n">
        <f aca="false">COUNTIF('Feature Register'!$I$2:$I$200,"M1")</f>
        <v>12</v>
      </c>
    </row>
    <row r="46" customFormat="false" ht="15" hidden="false" customHeight="false" outlineLevel="0" collapsed="false">
      <c r="A46" s="14" t="s">
        <v>58</v>
      </c>
      <c r="B46" s="15" t="n">
        <f aca="false">COUNTIF('Feature Register'!$I$2:$I$200,"M2")</f>
        <v>23</v>
      </c>
    </row>
    <row r="47" customFormat="false" ht="15" hidden="false" customHeight="false" outlineLevel="0" collapsed="false">
      <c r="A47" s="14" t="s">
        <v>59</v>
      </c>
      <c r="B47" s="15" t="n">
        <f aca="false">COUNTIF('Feature Register'!$I$2:$I$200,"M3")</f>
        <v>26</v>
      </c>
    </row>
    <row r="48" customFormat="false" ht="15" hidden="false" customHeight="false" outlineLevel="0" collapsed="false">
      <c r="A48" s="14" t="s">
        <v>60</v>
      </c>
      <c r="B48" s="15" t="n">
        <f aca="false">COUNTIF('Feature Register'!$I$2:$I$200,"M4")</f>
        <v>11</v>
      </c>
    </row>
    <row r="49" customFormat="false" ht="15" hidden="false" customHeight="false" outlineLevel="0" collapsed="false">
      <c r="A49" s="14" t="s">
        <v>61</v>
      </c>
      <c r="B49" s="15" t="n">
        <f aca="false">COUNTIF('Feature Register'!$I$2:$I$200,"M5")</f>
        <v>3</v>
      </c>
    </row>
    <row r="50" customFormat="false" ht="15" hidden="false" customHeight="false" outlineLevel="0" collapsed="false">
      <c r="A50" s="14" t="s">
        <v>62</v>
      </c>
      <c r="B50" s="15" t="n">
        <f aca="false">COUNTIF('Feature Register'!$K$2:$K$200,"SD")</f>
        <v>43</v>
      </c>
    </row>
    <row r="51" customFormat="false" ht="15" hidden="false" customHeight="false" outlineLevel="0" collapsed="false">
      <c r="A51" s="14" t="s">
        <v>63</v>
      </c>
      <c r="B51" s="15" t="n">
        <f aca="false">COUNTIF('Feature Register'!$K$2:$K$200,"JA")</f>
        <v>11</v>
      </c>
    </row>
    <row r="52" customFormat="false" ht="15" hidden="false" customHeight="false" outlineLevel="0" collapsed="false">
      <c r="A52" s="14" t="s">
        <v>64</v>
      </c>
      <c r="B52" s="15" t="n">
        <f aca="false">COUNTIF('Feature Register'!$K$2:$K$200,"JB")</f>
        <v>23</v>
      </c>
    </row>
    <row r="53" customFormat="false" ht="15" hidden="false" customHeight="false" outlineLevel="0" collapsed="false">
      <c r="A53" s="14" t="s">
        <v>65</v>
      </c>
      <c r="B53" s="15" t="n">
        <f aca="false">COUNTIF('Feature Register'!$K$2:$K$200,"F")</f>
        <v>2</v>
      </c>
    </row>
    <row r="54" customFormat="false" ht="15" hidden="false" customHeight="false" outlineLevel="0" collapsed="false">
      <c r="A54" s="14" t="s">
        <v>66</v>
      </c>
      <c r="B54" s="15" t="n">
        <f aca="false">COUNTIF('Feature Register'!$G$2:$G$200,"Differentiating")</f>
        <v>27</v>
      </c>
    </row>
    <row r="55" customFormat="false" ht="15" hidden="false" customHeight="false" outlineLevel="0" collapsed="false">
      <c r="A55" s="14" t="s">
        <v>67</v>
      </c>
      <c r="B55" s="15" t="n">
        <f aca="false">COUNTIF('Feature Register'!$J$2:$J$200,"L")</f>
        <v>1</v>
      </c>
    </row>
    <row r="56" customFormat="false" ht="15" hidden="false" customHeight="false" outlineLevel="0" collapsed="false">
      <c r="A56" s="14" t="s">
        <v>68</v>
      </c>
      <c r="B56" s="15" t="n">
        <f aca="false">COUNTIF('Phase 2 Register'!$A$2:$A$100,"P2-*")</f>
        <v>18</v>
      </c>
    </row>
    <row r="57" customFormat="false" ht="15" hidden="false" customHeight="false" outlineLevel="0" collapsed="false">
      <c r="A57" s="14" t="s">
        <v>69</v>
      </c>
      <c r="B57" s="15" t="n">
        <f aca="false">COUNTIF(Glossary!$A$2:$A$200,"?*")</f>
        <v>48</v>
      </c>
    </row>
    <row r="58" customFormat="false" ht="15" hidden="false" customHeight="false" outlineLevel="0" collapsed="false">
      <c r="A58" s="14" t="s">
        <v>70</v>
      </c>
      <c r="B58" s="15" t="n">
        <f aca="false">COUNT('User Journey'!$A$2:$A$200)</f>
        <v>34</v>
      </c>
    </row>
    <row r="59" customFormat="false" ht="15" hidden="false" customHeight="false" outlineLevel="0" collapsed="false">
      <c r="A59" s="14" t="s">
        <v>71</v>
      </c>
      <c r="B59" s="15" t="n">
        <f aca="false">COUNTIF('Screens &amp; States'!$A$2:$A$300,"S-*")</f>
        <v>47</v>
      </c>
    </row>
    <row r="60" customFormat="false" ht="15" hidden="false" customHeight="false" outlineLevel="0" collapsed="false">
      <c r="A60" s="14" t="s">
        <v>72</v>
      </c>
      <c r="B60" s="15" t="n">
        <f aca="false">COUNTIF('Analytics Events'!$A$2:$A$200,"?*")</f>
        <v>41</v>
      </c>
    </row>
    <row r="61" customFormat="false" ht="15" hidden="false" customHeight="false" outlineLevel="0" collapsed="false">
      <c r="A61" s="14" t="s">
        <v>73</v>
      </c>
      <c r="B61" s="15" t="n">
        <f aca="false">COUNTIF('Milestone Checklist'!$A$2:$A$200,"M*")</f>
        <v>32</v>
      </c>
    </row>
    <row r="63" customFormat="false" ht="23.85" hidden="false" customHeight="false" outlineLevel="0" collapsed="false">
      <c r="A63" s="9" t="s">
        <v>74</v>
      </c>
    </row>
    <row r="64" customFormat="false" ht="35.05" hidden="false" customHeight="false" outlineLevel="0" collapsed="false">
      <c r="A64" s="16" t="s">
        <v>75</v>
      </c>
      <c r="C64" s="5" t="s">
        <v>76</v>
      </c>
    </row>
    <row r="65" customFormat="false" ht="23.85" hidden="false" customHeight="false" outlineLevel="0" collapsed="false">
      <c r="A65" s="16" t="s">
        <v>75</v>
      </c>
      <c r="C65" s="5" t="s">
        <v>77</v>
      </c>
    </row>
    <row r="66" customFormat="false" ht="15" hidden="false" customHeight="false" outlineLevel="0" collapsed="false">
      <c r="A66" s="16" t="s">
        <v>75</v>
      </c>
      <c r="C66" s="5" t="s">
        <v>78</v>
      </c>
    </row>
    <row r="67" customFormat="false" ht="23.85" hidden="false" customHeight="false" outlineLevel="0" collapsed="false">
      <c r="A67" s="16" t="s">
        <v>75</v>
      </c>
      <c r="C67" s="5" t="s">
        <v>79</v>
      </c>
    </row>
    <row r="68" customFormat="false" ht="23.85" hidden="false" customHeight="false" outlineLevel="0" collapsed="false">
      <c r="A68" s="16" t="s">
        <v>75</v>
      </c>
      <c r="C68" s="5" t="s">
        <v>80</v>
      </c>
    </row>
    <row r="69" customFormat="false" ht="23.85" hidden="false" customHeight="false" outlineLevel="0" collapsed="false">
      <c r="A69" s="16" t="s">
        <v>75</v>
      </c>
      <c r="C69" s="5"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5B08"/>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2"/>
    <col collapsed="false" customWidth="true" hidden="false" outlineLevel="0" max="3" min="3" style="0" width="20"/>
    <col collapsed="false" customWidth="true" hidden="false" outlineLevel="0" max="4" min="4" style="0" width="50"/>
    <col collapsed="false" customWidth="true" hidden="false" outlineLevel="0" max="5" min="5" style="0" width="74"/>
    <col collapsed="false" customWidth="true" hidden="false" outlineLevel="0" max="6" min="6" style="0" width="22"/>
    <col collapsed="false" customWidth="true" hidden="false" outlineLevel="0" max="7" min="7" style="0" width="18"/>
  </cols>
  <sheetData>
    <row r="1" customFormat="false" ht="30" hidden="false" customHeight="true" outlineLevel="0" collapsed="false">
      <c r="A1" s="17" t="s">
        <v>82</v>
      </c>
      <c r="B1" s="17" t="s">
        <v>83</v>
      </c>
      <c r="C1" s="17" t="s">
        <v>84</v>
      </c>
      <c r="D1" s="17" t="s">
        <v>85</v>
      </c>
      <c r="E1" s="17" t="s">
        <v>86</v>
      </c>
      <c r="F1" s="17" t="s">
        <v>87</v>
      </c>
      <c r="G1" s="17" t="s">
        <v>88</v>
      </c>
    </row>
    <row r="2" customFormat="false" ht="23.85" hidden="false" customHeight="false" outlineLevel="0" collapsed="false">
      <c r="A2" s="18" t="s">
        <v>89</v>
      </c>
      <c r="B2" s="19" t="s">
        <v>90</v>
      </c>
      <c r="C2" s="20" t="s">
        <v>91</v>
      </c>
      <c r="D2" s="19" t="s">
        <v>92</v>
      </c>
      <c r="E2" s="19" t="s">
        <v>93</v>
      </c>
      <c r="F2" s="19" t="s">
        <v>94</v>
      </c>
      <c r="G2" s="19" t="s">
        <v>95</v>
      </c>
    </row>
    <row r="3" customFormat="false" ht="23.85" hidden="false" customHeight="false" outlineLevel="0" collapsed="false">
      <c r="A3" s="18" t="s">
        <v>96</v>
      </c>
      <c r="B3" s="19" t="s">
        <v>97</v>
      </c>
      <c r="C3" s="21" t="s">
        <v>98</v>
      </c>
      <c r="D3" s="19" t="s">
        <v>99</v>
      </c>
      <c r="E3" s="19" t="s">
        <v>100</v>
      </c>
      <c r="F3" s="19" t="s">
        <v>101</v>
      </c>
      <c r="G3" s="19" t="s">
        <v>102</v>
      </c>
    </row>
    <row r="4" customFormat="false" ht="23.85" hidden="false" customHeight="false" outlineLevel="0" collapsed="false">
      <c r="A4" s="18" t="s">
        <v>103</v>
      </c>
      <c r="B4" s="19" t="s">
        <v>104</v>
      </c>
      <c r="C4" s="21" t="s">
        <v>98</v>
      </c>
      <c r="D4" s="19" t="s">
        <v>105</v>
      </c>
      <c r="E4" s="19" t="s">
        <v>106</v>
      </c>
      <c r="F4" s="19" t="s">
        <v>107</v>
      </c>
      <c r="G4" s="19" t="s">
        <v>102</v>
      </c>
    </row>
    <row r="5" customFormat="false" ht="23.85" hidden="false" customHeight="false" outlineLevel="0" collapsed="false">
      <c r="A5" s="18" t="s">
        <v>108</v>
      </c>
      <c r="B5" s="19" t="s">
        <v>109</v>
      </c>
      <c r="C5" s="21" t="s">
        <v>98</v>
      </c>
      <c r="D5" s="19" t="s">
        <v>110</v>
      </c>
      <c r="E5" s="19" t="s">
        <v>111</v>
      </c>
      <c r="F5" s="19" t="s">
        <v>112</v>
      </c>
      <c r="G5" s="19" t="s">
        <v>102</v>
      </c>
    </row>
    <row r="6" customFormat="false" ht="15" hidden="false" customHeight="false" outlineLevel="0" collapsed="false">
      <c r="A6" s="18" t="s">
        <v>113</v>
      </c>
      <c r="B6" s="19" t="s">
        <v>114</v>
      </c>
      <c r="C6" s="20" t="s">
        <v>91</v>
      </c>
      <c r="D6" s="19" t="s">
        <v>115</v>
      </c>
      <c r="E6" s="19" t="s">
        <v>93</v>
      </c>
      <c r="F6" s="19" t="s">
        <v>116</v>
      </c>
      <c r="G6" s="19" t="s">
        <v>95</v>
      </c>
    </row>
    <row r="7" customFormat="false" ht="23.85" hidden="false" customHeight="false" outlineLevel="0" collapsed="false">
      <c r="A7" s="18" t="s">
        <v>117</v>
      </c>
      <c r="B7" s="19" t="s">
        <v>118</v>
      </c>
      <c r="C7" s="20" t="s">
        <v>91</v>
      </c>
      <c r="D7" s="19" t="s">
        <v>119</v>
      </c>
      <c r="E7" s="19" t="s">
        <v>93</v>
      </c>
      <c r="F7" s="19" t="s">
        <v>120</v>
      </c>
      <c r="G7" s="19" t="s">
        <v>95</v>
      </c>
    </row>
    <row r="8" customFormat="false" ht="35.05" hidden="false" customHeight="false" outlineLevel="0" collapsed="false">
      <c r="A8" s="18" t="s">
        <v>121</v>
      </c>
      <c r="B8" s="19" t="s">
        <v>122</v>
      </c>
      <c r="C8" s="22" t="s">
        <v>123</v>
      </c>
      <c r="D8" s="19" t="s">
        <v>124</v>
      </c>
      <c r="E8" s="19" t="s">
        <v>125</v>
      </c>
      <c r="F8" s="19" t="s">
        <v>126</v>
      </c>
      <c r="G8" s="19" t="s">
        <v>102</v>
      </c>
    </row>
    <row r="9" customFormat="false" ht="23.85" hidden="false" customHeight="false" outlineLevel="0" collapsed="false">
      <c r="A9" s="18" t="s">
        <v>127</v>
      </c>
      <c r="B9" s="19" t="s">
        <v>128</v>
      </c>
      <c r="C9" s="20" t="s">
        <v>91</v>
      </c>
      <c r="D9" s="19" t="s">
        <v>129</v>
      </c>
      <c r="E9" s="19" t="s">
        <v>130</v>
      </c>
      <c r="F9" s="19" t="s">
        <v>131</v>
      </c>
      <c r="G9" s="19" t="s">
        <v>95</v>
      </c>
    </row>
    <row r="10" customFormat="false" ht="23.85" hidden="false" customHeight="false" outlineLevel="0" collapsed="false">
      <c r="A10" s="18" t="s">
        <v>132</v>
      </c>
      <c r="B10" s="19" t="s">
        <v>133</v>
      </c>
      <c r="C10" s="20" t="s">
        <v>91</v>
      </c>
      <c r="D10" s="19" t="s">
        <v>134</v>
      </c>
      <c r="E10" s="19" t="s">
        <v>93</v>
      </c>
      <c r="F10" s="19" t="s">
        <v>135</v>
      </c>
      <c r="G10" s="19" t="s">
        <v>95</v>
      </c>
    </row>
    <row r="11" customFormat="false" ht="23.85" hidden="false" customHeight="false" outlineLevel="0" collapsed="false">
      <c r="A11" s="18" t="s">
        <v>136</v>
      </c>
      <c r="B11" s="19" t="s">
        <v>137</v>
      </c>
      <c r="C11" s="22" t="s">
        <v>123</v>
      </c>
      <c r="D11" s="19" t="s">
        <v>138</v>
      </c>
      <c r="E11" s="19" t="s">
        <v>139</v>
      </c>
      <c r="F11" s="19" t="s">
        <v>140</v>
      </c>
      <c r="G11" s="19" t="s">
        <v>102</v>
      </c>
    </row>
    <row r="12" customFormat="false" ht="23.85" hidden="false" customHeight="false" outlineLevel="0" collapsed="false">
      <c r="A12" s="18" t="s">
        <v>141</v>
      </c>
      <c r="B12" s="19" t="s">
        <v>142</v>
      </c>
      <c r="C12" s="21" t="s">
        <v>98</v>
      </c>
      <c r="D12" s="19" t="s">
        <v>143</v>
      </c>
      <c r="E12" s="19" t="s">
        <v>144</v>
      </c>
      <c r="F12" s="19" t="s">
        <v>145</v>
      </c>
      <c r="G12" s="19" t="s">
        <v>102</v>
      </c>
    </row>
    <row r="13" customFormat="false" ht="23.85" hidden="false" customHeight="false" outlineLevel="0" collapsed="false">
      <c r="A13" s="18" t="s">
        <v>146</v>
      </c>
      <c r="B13" s="19" t="s">
        <v>147</v>
      </c>
      <c r="C13" s="21" t="s">
        <v>98</v>
      </c>
      <c r="D13" s="19" t="s">
        <v>148</v>
      </c>
      <c r="E13" s="19" t="s">
        <v>149</v>
      </c>
      <c r="F13" s="19" t="s">
        <v>150</v>
      </c>
      <c r="G13" s="19" t="s">
        <v>102</v>
      </c>
    </row>
    <row r="14" customFormat="false" ht="23.85" hidden="false" customHeight="false" outlineLevel="0" collapsed="false">
      <c r="A14" s="18" t="s">
        <v>151</v>
      </c>
      <c r="B14" s="19" t="s">
        <v>152</v>
      </c>
      <c r="C14" s="22" t="s">
        <v>123</v>
      </c>
      <c r="D14" s="19" t="s">
        <v>153</v>
      </c>
      <c r="E14" s="19" t="s">
        <v>154</v>
      </c>
      <c r="F14" s="19" t="s">
        <v>155</v>
      </c>
      <c r="G14" s="19" t="s">
        <v>102</v>
      </c>
    </row>
    <row r="15" customFormat="false" ht="23.85" hidden="false" customHeight="false" outlineLevel="0" collapsed="false">
      <c r="A15" s="18" t="s">
        <v>156</v>
      </c>
      <c r="B15" s="19" t="s">
        <v>157</v>
      </c>
      <c r="C15" s="21" t="s">
        <v>98</v>
      </c>
      <c r="D15" s="19" t="s">
        <v>158</v>
      </c>
      <c r="E15" s="19" t="s">
        <v>159</v>
      </c>
      <c r="F15" s="19" t="s">
        <v>160</v>
      </c>
      <c r="G15" s="19" t="s">
        <v>102</v>
      </c>
    </row>
    <row r="16" customFormat="false" ht="23.85" hidden="false" customHeight="false" outlineLevel="0" collapsed="false">
      <c r="A16" s="18" t="s">
        <v>161</v>
      </c>
      <c r="B16" s="19" t="s">
        <v>162</v>
      </c>
      <c r="C16" s="22" t="s">
        <v>123</v>
      </c>
      <c r="D16" s="19" t="s">
        <v>163</v>
      </c>
      <c r="E16" s="19" t="s">
        <v>164</v>
      </c>
      <c r="F16" s="19" t="s">
        <v>165</v>
      </c>
      <c r="G16" s="19" t="s">
        <v>102</v>
      </c>
    </row>
    <row r="17" customFormat="false" ht="23.85" hidden="false" customHeight="false" outlineLevel="0" collapsed="false">
      <c r="A17" s="18" t="s">
        <v>166</v>
      </c>
      <c r="B17" s="19" t="s">
        <v>167</v>
      </c>
      <c r="C17" s="21" t="s">
        <v>98</v>
      </c>
      <c r="D17" s="19" t="s">
        <v>168</v>
      </c>
      <c r="E17" s="19" t="s">
        <v>169</v>
      </c>
      <c r="F17" s="19" t="s">
        <v>170</v>
      </c>
      <c r="G17" s="19" t="s">
        <v>102</v>
      </c>
    </row>
    <row r="18" customFormat="false" ht="15" hidden="false" customHeight="false" outlineLevel="0" collapsed="false">
      <c r="A18" s="18" t="s">
        <v>171</v>
      </c>
      <c r="B18" s="19" t="s">
        <v>172</v>
      </c>
      <c r="C18" s="20" t="s">
        <v>91</v>
      </c>
      <c r="D18" s="19" t="s">
        <v>173</v>
      </c>
      <c r="E18" s="19" t="s">
        <v>93</v>
      </c>
      <c r="F18" s="19" t="s">
        <v>174</v>
      </c>
      <c r="G18" s="19" t="s">
        <v>95</v>
      </c>
    </row>
    <row r="19" customFormat="false" ht="46.25" hidden="false" customHeight="false" outlineLevel="0" collapsed="false">
      <c r="A19" s="18" t="s">
        <v>175</v>
      </c>
      <c r="B19" s="19" t="s">
        <v>176</v>
      </c>
      <c r="C19" s="23" t="s">
        <v>177</v>
      </c>
      <c r="D19" s="19" t="s">
        <v>178</v>
      </c>
      <c r="E19" s="19" t="s">
        <v>179</v>
      </c>
      <c r="F19" s="19" t="s">
        <v>180</v>
      </c>
      <c r="G19" s="19" t="s">
        <v>181</v>
      </c>
    </row>
    <row r="20" customFormat="false" ht="23.85" hidden="false" customHeight="false" outlineLevel="0" collapsed="false">
      <c r="A20" s="18" t="s">
        <v>182</v>
      </c>
      <c r="B20" s="19" t="s">
        <v>183</v>
      </c>
      <c r="C20" s="20" t="s">
        <v>184</v>
      </c>
      <c r="D20" s="19" t="s">
        <v>185</v>
      </c>
      <c r="E20" s="19" t="s">
        <v>186</v>
      </c>
      <c r="F20" s="19" t="s">
        <v>187</v>
      </c>
      <c r="G20" s="19" t="s">
        <v>95</v>
      </c>
    </row>
    <row r="21" customFormat="false" ht="23.85" hidden="false" customHeight="false" outlineLevel="0" collapsed="false">
      <c r="A21" s="18" t="s">
        <v>188</v>
      </c>
      <c r="B21" s="19" t="s">
        <v>189</v>
      </c>
      <c r="C21" s="23" t="s">
        <v>190</v>
      </c>
      <c r="D21" s="19" t="s">
        <v>191</v>
      </c>
      <c r="E21" s="19" t="s">
        <v>192</v>
      </c>
      <c r="F21" s="19" t="s">
        <v>193</v>
      </c>
      <c r="G21" s="19" t="s">
        <v>181</v>
      </c>
    </row>
    <row r="22" customFormat="false" ht="46.25" hidden="false" customHeight="false" outlineLevel="0" collapsed="false">
      <c r="A22" s="18" t="s">
        <v>194</v>
      </c>
      <c r="B22" s="19" t="s">
        <v>195</v>
      </c>
      <c r="C22" s="24" t="s">
        <v>196</v>
      </c>
      <c r="D22" s="19" t="s">
        <v>197</v>
      </c>
      <c r="E22" s="19" t="s">
        <v>198</v>
      </c>
      <c r="F22" s="19" t="s">
        <v>199</v>
      </c>
      <c r="G22" s="19" t="s">
        <v>95</v>
      </c>
    </row>
  </sheetData>
  <autoFilter ref="A1:G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3DF5"/>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3" min="3" style="0" width="62"/>
    <col collapsed="false" customWidth="true" hidden="false" outlineLevel="0" max="4" min="4" style="0" width="58"/>
    <col collapsed="false" customWidth="true" hidden="false" outlineLevel="0" max="6" min="5" style="0" width="26"/>
  </cols>
  <sheetData>
    <row r="1" customFormat="false" ht="30" hidden="false" customHeight="true" outlineLevel="0" collapsed="false">
      <c r="A1" s="17" t="s">
        <v>200</v>
      </c>
      <c r="B1" s="17" t="s">
        <v>201</v>
      </c>
      <c r="C1" s="17" t="s">
        <v>202</v>
      </c>
      <c r="D1" s="17" t="s">
        <v>203</v>
      </c>
      <c r="E1" s="17" t="s">
        <v>204</v>
      </c>
      <c r="F1" s="17" t="s">
        <v>205</v>
      </c>
    </row>
    <row r="2" customFormat="false" ht="23.85" hidden="false" customHeight="false" outlineLevel="0" collapsed="false">
      <c r="A2" s="18" t="s">
        <v>206</v>
      </c>
      <c r="B2" s="19" t="s">
        <v>206</v>
      </c>
      <c r="C2" s="19" t="s">
        <v>207</v>
      </c>
      <c r="D2" s="19" t="s">
        <v>208</v>
      </c>
      <c r="E2" s="19" t="s">
        <v>209</v>
      </c>
      <c r="F2" s="19" t="s">
        <v>210</v>
      </c>
    </row>
    <row r="3" customFormat="false" ht="35.05" hidden="false" customHeight="false" outlineLevel="0" collapsed="false">
      <c r="A3" s="18" t="s">
        <v>211</v>
      </c>
      <c r="B3" s="19" t="s">
        <v>211</v>
      </c>
      <c r="C3" s="19" t="s">
        <v>212</v>
      </c>
      <c r="D3" s="19" t="s">
        <v>213</v>
      </c>
      <c r="E3" s="19" t="s">
        <v>214</v>
      </c>
      <c r="F3" s="19" t="s">
        <v>215</v>
      </c>
    </row>
    <row r="4" customFormat="false" ht="23.85" hidden="false" customHeight="false" outlineLevel="0" collapsed="false">
      <c r="A4" s="18" t="s">
        <v>216</v>
      </c>
      <c r="B4" s="19" t="s">
        <v>216</v>
      </c>
      <c r="C4" s="19" t="s">
        <v>217</v>
      </c>
      <c r="D4" s="19" t="s">
        <v>218</v>
      </c>
      <c r="E4" s="19" t="s">
        <v>219</v>
      </c>
      <c r="F4" s="19" t="s">
        <v>220</v>
      </c>
    </row>
    <row r="5" customFormat="false" ht="23.85" hidden="false" customHeight="false" outlineLevel="0" collapsed="false">
      <c r="A5" s="18" t="s">
        <v>221</v>
      </c>
      <c r="B5" s="19" t="s">
        <v>222</v>
      </c>
      <c r="C5" s="19" t="s">
        <v>223</v>
      </c>
      <c r="D5" s="19" t="s">
        <v>224</v>
      </c>
      <c r="E5" s="19" t="s">
        <v>225</v>
      </c>
      <c r="F5" s="19" t="s">
        <v>226</v>
      </c>
    </row>
    <row r="6" customFormat="false" ht="23.85" hidden="false" customHeight="false" outlineLevel="0" collapsed="false">
      <c r="A6" s="18" t="s">
        <v>227</v>
      </c>
      <c r="B6" s="19" t="s">
        <v>228</v>
      </c>
      <c r="C6" s="19" t="s">
        <v>229</v>
      </c>
      <c r="D6" s="19" t="s">
        <v>230</v>
      </c>
      <c r="E6" s="19" t="s">
        <v>231</v>
      </c>
      <c r="F6" s="19" t="s">
        <v>232</v>
      </c>
    </row>
    <row r="7" customFormat="false" ht="35.05" hidden="false" customHeight="false" outlineLevel="0" collapsed="false">
      <c r="A7" s="18" t="s">
        <v>233</v>
      </c>
      <c r="B7" s="19" t="s">
        <v>234</v>
      </c>
      <c r="C7" s="19" t="s">
        <v>235</v>
      </c>
      <c r="D7" s="19" t="s">
        <v>236</v>
      </c>
      <c r="E7" s="19" t="s">
        <v>237</v>
      </c>
      <c r="F7" s="19" t="s">
        <v>238</v>
      </c>
    </row>
    <row r="8" customFormat="false" ht="35.05" hidden="false" customHeight="false" outlineLevel="0" collapsed="false">
      <c r="A8" s="18" t="s">
        <v>239</v>
      </c>
      <c r="B8" s="19" t="s">
        <v>222</v>
      </c>
      <c r="C8" s="19" t="s">
        <v>240</v>
      </c>
      <c r="D8" s="19" t="s">
        <v>241</v>
      </c>
      <c r="E8" s="19" t="s">
        <v>242</v>
      </c>
      <c r="F8" s="19" t="s">
        <v>243</v>
      </c>
    </row>
    <row r="9" customFormat="false" ht="35.05" hidden="false" customHeight="false" outlineLevel="0" collapsed="false">
      <c r="A9" s="18" t="s">
        <v>244</v>
      </c>
      <c r="B9" s="19" t="s">
        <v>244</v>
      </c>
      <c r="C9" s="19" t="s">
        <v>245</v>
      </c>
      <c r="D9" s="19" t="s">
        <v>246</v>
      </c>
      <c r="E9" s="19" t="s">
        <v>231</v>
      </c>
      <c r="F9" s="19" t="s">
        <v>247</v>
      </c>
    </row>
    <row r="10" customFormat="false" ht="23.85" hidden="false" customHeight="false" outlineLevel="0" collapsed="false">
      <c r="A10" s="18" t="s">
        <v>248</v>
      </c>
      <c r="B10" s="19" t="s">
        <v>248</v>
      </c>
      <c r="C10" s="19" t="s">
        <v>249</v>
      </c>
      <c r="D10" s="19" t="s">
        <v>250</v>
      </c>
      <c r="E10" s="19" t="s">
        <v>251</v>
      </c>
      <c r="F10" s="19" t="s">
        <v>244</v>
      </c>
    </row>
    <row r="11" customFormat="false" ht="23.85" hidden="false" customHeight="false" outlineLevel="0" collapsed="false">
      <c r="A11" s="18" t="s">
        <v>252</v>
      </c>
      <c r="B11" s="19" t="s">
        <v>252</v>
      </c>
      <c r="C11" s="19" t="s">
        <v>253</v>
      </c>
      <c r="D11" s="19" t="s">
        <v>254</v>
      </c>
      <c r="E11" s="19" t="s">
        <v>231</v>
      </c>
      <c r="F11" s="19" t="s">
        <v>255</v>
      </c>
    </row>
    <row r="12" customFormat="false" ht="23.85" hidden="false" customHeight="false" outlineLevel="0" collapsed="false">
      <c r="A12" s="18" t="s">
        <v>256</v>
      </c>
      <c r="B12" s="19" t="s">
        <v>257</v>
      </c>
      <c r="C12" s="19" t="s">
        <v>258</v>
      </c>
      <c r="D12" s="19" t="s">
        <v>259</v>
      </c>
      <c r="E12" s="19" t="s">
        <v>231</v>
      </c>
      <c r="F12" s="19" t="s">
        <v>227</v>
      </c>
    </row>
    <row r="13" customFormat="false" ht="23.85" hidden="false" customHeight="false" outlineLevel="0" collapsed="false">
      <c r="A13" s="18" t="s">
        <v>260</v>
      </c>
      <c r="B13" s="19" t="s">
        <v>222</v>
      </c>
      <c r="C13" s="19" t="s">
        <v>261</v>
      </c>
      <c r="D13" s="19" t="s">
        <v>262</v>
      </c>
      <c r="E13" s="19" t="s">
        <v>225</v>
      </c>
      <c r="F13" s="19" t="s">
        <v>263</v>
      </c>
    </row>
    <row r="14" customFormat="false" ht="35.05" hidden="false" customHeight="false" outlineLevel="0" collapsed="false">
      <c r="A14" s="18" t="s">
        <v>264</v>
      </c>
      <c r="B14" s="19" t="s">
        <v>265</v>
      </c>
      <c r="C14" s="19" t="s">
        <v>266</v>
      </c>
      <c r="D14" s="19" t="s">
        <v>267</v>
      </c>
      <c r="E14" s="19" t="s">
        <v>268</v>
      </c>
      <c r="F14" s="19" t="s">
        <v>269</v>
      </c>
    </row>
    <row r="15" customFormat="false" ht="35.05" hidden="false" customHeight="false" outlineLevel="0" collapsed="false">
      <c r="A15" s="18" t="s">
        <v>270</v>
      </c>
      <c r="B15" s="19" t="s">
        <v>271</v>
      </c>
      <c r="C15" s="19" t="s">
        <v>272</v>
      </c>
      <c r="D15" s="19" t="s">
        <v>273</v>
      </c>
      <c r="E15" s="19" t="s">
        <v>268</v>
      </c>
      <c r="F15" s="19" t="s">
        <v>274</v>
      </c>
    </row>
    <row r="16" customFormat="false" ht="23.85" hidden="false" customHeight="false" outlineLevel="0" collapsed="false">
      <c r="A16" s="18" t="s">
        <v>275</v>
      </c>
      <c r="B16" s="19" t="s">
        <v>222</v>
      </c>
      <c r="C16" s="19" t="s">
        <v>276</v>
      </c>
      <c r="D16" s="19" t="s">
        <v>277</v>
      </c>
      <c r="E16" s="19" t="s">
        <v>225</v>
      </c>
      <c r="F16" s="19" t="s">
        <v>269</v>
      </c>
    </row>
    <row r="17" customFormat="false" ht="23.85" hidden="false" customHeight="false" outlineLevel="0" collapsed="false">
      <c r="A17" s="18" t="s">
        <v>278</v>
      </c>
      <c r="B17" s="19" t="s">
        <v>222</v>
      </c>
      <c r="C17" s="19" t="s">
        <v>279</v>
      </c>
      <c r="D17" s="19" t="s">
        <v>280</v>
      </c>
      <c r="E17" s="19" t="s">
        <v>225</v>
      </c>
      <c r="F17" s="19" t="s">
        <v>281</v>
      </c>
    </row>
    <row r="18" customFormat="false" ht="23.85" hidden="false" customHeight="false" outlineLevel="0" collapsed="false">
      <c r="A18" s="18" t="s">
        <v>282</v>
      </c>
      <c r="B18" s="19" t="s">
        <v>283</v>
      </c>
      <c r="C18" s="19" t="s">
        <v>284</v>
      </c>
      <c r="D18" s="19" t="s">
        <v>285</v>
      </c>
      <c r="E18" s="19" t="s">
        <v>286</v>
      </c>
      <c r="F18" s="19" t="s">
        <v>287</v>
      </c>
    </row>
    <row r="19" customFormat="false" ht="23.85" hidden="false" customHeight="false" outlineLevel="0" collapsed="false">
      <c r="A19" s="18" t="s">
        <v>281</v>
      </c>
      <c r="B19" s="19" t="s">
        <v>288</v>
      </c>
      <c r="C19" s="19" t="s">
        <v>289</v>
      </c>
      <c r="D19" s="19" t="s">
        <v>290</v>
      </c>
      <c r="E19" s="19" t="s">
        <v>231</v>
      </c>
      <c r="F19" s="19" t="s">
        <v>291</v>
      </c>
    </row>
    <row r="20" customFormat="false" ht="23.85" hidden="false" customHeight="false" outlineLevel="0" collapsed="false">
      <c r="A20" s="18" t="s">
        <v>286</v>
      </c>
      <c r="B20" s="19" t="s">
        <v>292</v>
      </c>
      <c r="C20" s="19" t="s">
        <v>293</v>
      </c>
      <c r="D20" s="19" t="s">
        <v>294</v>
      </c>
      <c r="E20" s="19" t="s">
        <v>231</v>
      </c>
      <c r="F20" s="19" t="s">
        <v>295</v>
      </c>
    </row>
    <row r="21" customFormat="false" ht="23.85" hidden="false" customHeight="false" outlineLevel="0" collapsed="false">
      <c r="A21" s="18" t="s">
        <v>296</v>
      </c>
      <c r="B21" s="19" t="s">
        <v>297</v>
      </c>
      <c r="C21" s="19" t="s">
        <v>298</v>
      </c>
      <c r="D21" s="19" t="s">
        <v>299</v>
      </c>
      <c r="E21" s="19" t="s">
        <v>286</v>
      </c>
      <c r="F21" s="19" t="s">
        <v>300</v>
      </c>
    </row>
    <row r="22" customFormat="false" ht="23.85" hidden="false" customHeight="false" outlineLevel="0" collapsed="false">
      <c r="A22" s="18" t="s">
        <v>301</v>
      </c>
      <c r="B22" s="19" t="s">
        <v>222</v>
      </c>
      <c r="C22" s="19" t="s">
        <v>302</v>
      </c>
      <c r="D22" s="19" t="s">
        <v>303</v>
      </c>
      <c r="E22" s="19" t="s">
        <v>225</v>
      </c>
      <c r="F22" s="19" t="s">
        <v>304</v>
      </c>
    </row>
    <row r="23" customFormat="false" ht="23.85" hidden="false" customHeight="false" outlineLevel="0" collapsed="false">
      <c r="A23" s="18" t="s">
        <v>305</v>
      </c>
      <c r="B23" s="19" t="s">
        <v>297</v>
      </c>
      <c r="C23" s="19" t="s">
        <v>306</v>
      </c>
      <c r="D23" s="19" t="s">
        <v>307</v>
      </c>
      <c r="E23" s="19" t="s">
        <v>286</v>
      </c>
      <c r="F23" s="19" t="s">
        <v>308</v>
      </c>
    </row>
    <row r="24" customFormat="false" ht="23.85" hidden="false" customHeight="false" outlineLevel="0" collapsed="false">
      <c r="A24" s="18" t="s">
        <v>309</v>
      </c>
      <c r="B24" s="19" t="s">
        <v>310</v>
      </c>
      <c r="C24" s="19" t="s">
        <v>311</v>
      </c>
      <c r="D24" s="19" t="s">
        <v>312</v>
      </c>
      <c r="E24" s="19" t="s">
        <v>286</v>
      </c>
      <c r="F24" s="19" t="s">
        <v>313</v>
      </c>
    </row>
    <row r="25" customFormat="false" ht="23.85" hidden="false" customHeight="false" outlineLevel="0" collapsed="false">
      <c r="A25" s="18" t="s">
        <v>314</v>
      </c>
      <c r="B25" s="19" t="s">
        <v>314</v>
      </c>
      <c r="C25" s="19" t="s">
        <v>315</v>
      </c>
      <c r="D25" s="19" t="s">
        <v>316</v>
      </c>
      <c r="E25" s="19" t="s">
        <v>317</v>
      </c>
      <c r="F25" s="19" t="s">
        <v>318</v>
      </c>
    </row>
    <row r="26" customFormat="false" ht="23.85" hidden="false" customHeight="false" outlineLevel="0" collapsed="false">
      <c r="A26" s="18" t="s">
        <v>319</v>
      </c>
      <c r="B26" s="19" t="s">
        <v>320</v>
      </c>
      <c r="C26" s="19" t="s">
        <v>321</v>
      </c>
      <c r="D26" s="19" t="s">
        <v>322</v>
      </c>
      <c r="E26" s="19" t="s">
        <v>323</v>
      </c>
      <c r="F26" s="19" t="s">
        <v>309</v>
      </c>
    </row>
    <row r="27" customFormat="false" ht="23.85" hidden="false" customHeight="false" outlineLevel="0" collapsed="false">
      <c r="A27" s="18" t="s">
        <v>324</v>
      </c>
      <c r="B27" s="19" t="s">
        <v>325</v>
      </c>
      <c r="C27" s="19" t="s">
        <v>326</v>
      </c>
      <c r="D27" s="19" t="s">
        <v>327</v>
      </c>
      <c r="E27" s="19" t="s">
        <v>328</v>
      </c>
      <c r="F27" s="19" t="s">
        <v>329</v>
      </c>
    </row>
    <row r="28" customFormat="false" ht="23.85" hidden="false" customHeight="false" outlineLevel="0" collapsed="false">
      <c r="A28" s="18" t="s">
        <v>330</v>
      </c>
      <c r="B28" s="19" t="s">
        <v>331</v>
      </c>
      <c r="C28" s="19" t="s">
        <v>332</v>
      </c>
      <c r="D28" s="19" t="s">
        <v>333</v>
      </c>
      <c r="E28" s="19" t="s">
        <v>334</v>
      </c>
      <c r="F28" s="19" t="s">
        <v>335</v>
      </c>
    </row>
    <row r="29" customFormat="false" ht="35.05" hidden="false" customHeight="false" outlineLevel="0" collapsed="false">
      <c r="A29" s="18" t="s">
        <v>334</v>
      </c>
      <c r="B29" s="19" t="s">
        <v>336</v>
      </c>
      <c r="C29" s="19" t="s">
        <v>337</v>
      </c>
      <c r="D29" s="19" t="s">
        <v>338</v>
      </c>
      <c r="E29" s="19" t="s">
        <v>339</v>
      </c>
      <c r="F29" s="19" t="s">
        <v>340</v>
      </c>
    </row>
    <row r="30" customFormat="false" ht="23.85" hidden="false" customHeight="false" outlineLevel="0" collapsed="false">
      <c r="A30" s="18" t="s">
        <v>341</v>
      </c>
      <c r="B30" s="19" t="s">
        <v>342</v>
      </c>
      <c r="C30" s="19" t="s">
        <v>343</v>
      </c>
      <c r="D30" s="19" t="s">
        <v>344</v>
      </c>
      <c r="E30" s="19" t="s">
        <v>334</v>
      </c>
      <c r="F30" s="19" t="s">
        <v>345</v>
      </c>
    </row>
    <row r="31" customFormat="false" ht="23.85" hidden="false" customHeight="false" outlineLevel="0" collapsed="false">
      <c r="A31" s="18" t="s">
        <v>346</v>
      </c>
      <c r="B31" s="19" t="s">
        <v>222</v>
      </c>
      <c r="C31" s="19" t="s">
        <v>347</v>
      </c>
      <c r="D31" s="19" t="s">
        <v>348</v>
      </c>
      <c r="E31" s="19" t="s">
        <v>225</v>
      </c>
      <c r="F31" s="19" t="s">
        <v>349</v>
      </c>
    </row>
    <row r="32" customFormat="false" ht="35.05" hidden="false" customHeight="false" outlineLevel="0" collapsed="false">
      <c r="A32" s="18" t="s">
        <v>350</v>
      </c>
      <c r="B32" s="19" t="s">
        <v>351</v>
      </c>
      <c r="C32" s="19" t="s">
        <v>352</v>
      </c>
      <c r="D32" s="19" t="s">
        <v>353</v>
      </c>
      <c r="E32" s="19" t="s">
        <v>354</v>
      </c>
      <c r="F32" s="19" t="s">
        <v>355</v>
      </c>
    </row>
    <row r="33" customFormat="false" ht="23.85" hidden="false" customHeight="false" outlineLevel="0" collapsed="false">
      <c r="A33" s="18" t="s">
        <v>356</v>
      </c>
      <c r="B33" s="19" t="s">
        <v>357</v>
      </c>
      <c r="C33" s="19" t="s">
        <v>358</v>
      </c>
      <c r="D33" s="19" t="s">
        <v>359</v>
      </c>
      <c r="E33" s="19" t="s">
        <v>360</v>
      </c>
      <c r="F33" s="19" t="s">
        <v>361</v>
      </c>
    </row>
    <row r="34" customFormat="false" ht="23.85" hidden="false" customHeight="false" outlineLevel="0" collapsed="false">
      <c r="A34" s="18" t="s">
        <v>362</v>
      </c>
      <c r="B34" s="19" t="s">
        <v>222</v>
      </c>
      <c r="C34" s="19" t="s">
        <v>363</v>
      </c>
      <c r="D34" s="19" t="s">
        <v>364</v>
      </c>
      <c r="E34" s="19" t="s">
        <v>365</v>
      </c>
      <c r="F34" s="19" t="s">
        <v>366</v>
      </c>
    </row>
    <row r="35" customFormat="false" ht="23.85" hidden="false" customHeight="false" outlineLevel="0" collapsed="false">
      <c r="A35" s="18" t="s">
        <v>367</v>
      </c>
      <c r="B35" s="19" t="s">
        <v>222</v>
      </c>
      <c r="C35" s="19" t="s">
        <v>368</v>
      </c>
      <c r="D35" s="19" t="s">
        <v>369</v>
      </c>
      <c r="E35" s="19" t="s">
        <v>370</v>
      </c>
      <c r="F35" s="19" t="s">
        <v>371</v>
      </c>
    </row>
    <row r="36" customFormat="false" ht="23.85" hidden="false" customHeight="false" outlineLevel="0" collapsed="false">
      <c r="A36" s="18" t="s">
        <v>372</v>
      </c>
      <c r="B36" s="19" t="s">
        <v>222</v>
      </c>
      <c r="C36" s="19" t="s">
        <v>373</v>
      </c>
      <c r="D36" s="19" t="s">
        <v>374</v>
      </c>
      <c r="E36" s="19" t="s">
        <v>375</v>
      </c>
      <c r="F36" s="19" t="s">
        <v>376</v>
      </c>
    </row>
    <row r="37" customFormat="false" ht="35.05" hidden="false" customHeight="false" outlineLevel="0" collapsed="false">
      <c r="A37" s="18" t="s">
        <v>377</v>
      </c>
      <c r="B37" s="19" t="s">
        <v>222</v>
      </c>
      <c r="C37" s="19" t="s">
        <v>378</v>
      </c>
      <c r="D37" s="19" t="s">
        <v>379</v>
      </c>
      <c r="E37" s="19" t="s">
        <v>380</v>
      </c>
      <c r="F37" s="19" t="s">
        <v>381</v>
      </c>
    </row>
    <row r="38" customFormat="false" ht="15" hidden="false" customHeight="false" outlineLevel="0" collapsed="false">
      <c r="A38" s="18" t="s">
        <v>382</v>
      </c>
      <c r="B38" s="19" t="s">
        <v>222</v>
      </c>
      <c r="C38" s="19" t="s">
        <v>383</v>
      </c>
      <c r="D38" s="19" t="s">
        <v>384</v>
      </c>
      <c r="E38" s="19" t="s">
        <v>380</v>
      </c>
      <c r="F38" s="19" t="s">
        <v>385</v>
      </c>
    </row>
    <row r="39" customFormat="false" ht="35.05" hidden="false" customHeight="false" outlineLevel="0" collapsed="false">
      <c r="A39" s="18" t="s">
        <v>386</v>
      </c>
      <c r="B39" s="19" t="s">
        <v>222</v>
      </c>
      <c r="C39" s="19" t="s">
        <v>387</v>
      </c>
      <c r="D39" s="19" t="s">
        <v>388</v>
      </c>
      <c r="E39" s="19" t="s">
        <v>380</v>
      </c>
      <c r="F39" s="19" t="s">
        <v>389</v>
      </c>
    </row>
    <row r="40" customFormat="false" ht="35.05" hidden="false" customHeight="false" outlineLevel="0" collapsed="false">
      <c r="A40" s="18" t="s">
        <v>390</v>
      </c>
      <c r="B40" s="19" t="s">
        <v>391</v>
      </c>
      <c r="C40" s="19" t="s">
        <v>392</v>
      </c>
      <c r="D40" s="19" t="s">
        <v>393</v>
      </c>
      <c r="E40" s="19" t="s">
        <v>394</v>
      </c>
      <c r="F40" s="19" t="s">
        <v>395</v>
      </c>
    </row>
    <row r="41" customFormat="false" ht="23.85" hidden="false" customHeight="false" outlineLevel="0" collapsed="false">
      <c r="A41" s="18" t="s">
        <v>396</v>
      </c>
      <c r="B41" s="19" t="s">
        <v>222</v>
      </c>
      <c r="C41" s="19" t="s">
        <v>397</v>
      </c>
      <c r="D41" s="19" t="s">
        <v>398</v>
      </c>
      <c r="E41" s="19" t="s">
        <v>399</v>
      </c>
      <c r="F41" s="19" t="s">
        <v>400</v>
      </c>
    </row>
    <row r="42" customFormat="false" ht="23.85" hidden="false" customHeight="false" outlineLevel="0" collapsed="false">
      <c r="A42" s="18" t="s">
        <v>401</v>
      </c>
      <c r="B42" s="19" t="s">
        <v>222</v>
      </c>
      <c r="C42" s="19" t="s">
        <v>402</v>
      </c>
      <c r="D42" s="19" t="s">
        <v>403</v>
      </c>
      <c r="E42" s="19" t="s">
        <v>404</v>
      </c>
      <c r="F42" s="19" t="s">
        <v>405</v>
      </c>
    </row>
    <row r="43" customFormat="false" ht="23.85" hidden="false" customHeight="false" outlineLevel="0" collapsed="false">
      <c r="A43" s="18" t="s">
        <v>406</v>
      </c>
      <c r="B43" s="19" t="s">
        <v>222</v>
      </c>
      <c r="C43" s="19" t="s">
        <v>407</v>
      </c>
      <c r="D43" s="19" t="s">
        <v>408</v>
      </c>
      <c r="E43" s="19" t="s">
        <v>404</v>
      </c>
      <c r="F43" s="19" t="s">
        <v>401</v>
      </c>
    </row>
    <row r="44" customFormat="false" ht="23.85" hidden="false" customHeight="false" outlineLevel="0" collapsed="false">
      <c r="A44" s="18" t="s">
        <v>409</v>
      </c>
      <c r="B44" s="19" t="s">
        <v>222</v>
      </c>
      <c r="C44" s="19" t="s">
        <v>410</v>
      </c>
      <c r="D44" s="19" t="s">
        <v>411</v>
      </c>
      <c r="E44" s="19" t="s">
        <v>412</v>
      </c>
      <c r="F44" s="19" t="s">
        <v>413</v>
      </c>
    </row>
    <row r="45" customFormat="false" ht="23.85" hidden="false" customHeight="false" outlineLevel="0" collapsed="false">
      <c r="A45" s="18" t="s">
        <v>413</v>
      </c>
      <c r="B45" s="19" t="s">
        <v>222</v>
      </c>
      <c r="C45" s="19" t="s">
        <v>414</v>
      </c>
      <c r="D45" s="19" t="s">
        <v>415</v>
      </c>
      <c r="E45" s="19" t="s">
        <v>416</v>
      </c>
      <c r="F45" s="19" t="s">
        <v>417</v>
      </c>
    </row>
    <row r="46" customFormat="false" ht="35.05" hidden="false" customHeight="false" outlineLevel="0" collapsed="false">
      <c r="A46" s="18" t="s">
        <v>418</v>
      </c>
      <c r="B46" s="19" t="s">
        <v>419</v>
      </c>
      <c r="C46" s="19" t="s">
        <v>420</v>
      </c>
      <c r="D46" s="19" t="s">
        <v>421</v>
      </c>
      <c r="E46" s="19" t="s">
        <v>422</v>
      </c>
      <c r="F46" s="19" t="s">
        <v>423</v>
      </c>
    </row>
    <row r="47" customFormat="false" ht="23.85" hidden="false" customHeight="false" outlineLevel="0" collapsed="false">
      <c r="A47" s="18" t="s">
        <v>424</v>
      </c>
      <c r="B47" s="19" t="s">
        <v>425</v>
      </c>
      <c r="C47" s="19" t="s">
        <v>426</v>
      </c>
      <c r="D47" s="19" t="s">
        <v>427</v>
      </c>
      <c r="E47" s="19" t="s">
        <v>231</v>
      </c>
      <c r="F47" s="19" t="s">
        <v>255</v>
      </c>
    </row>
    <row r="48" customFormat="false" ht="35.05" hidden="false" customHeight="false" outlineLevel="0" collapsed="false">
      <c r="A48" s="18" t="s">
        <v>428</v>
      </c>
      <c r="B48" s="19" t="s">
        <v>429</v>
      </c>
      <c r="C48" s="19" t="s">
        <v>430</v>
      </c>
      <c r="D48" s="19" t="s">
        <v>431</v>
      </c>
      <c r="E48" s="19" t="s">
        <v>432</v>
      </c>
      <c r="F48" s="19" t="s">
        <v>433</v>
      </c>
    </row>
    <row r="49" customFormat="false" ht="35.05" hidden="false" customHeight="false" outlineLevel="0" collapsed="false">
      <c r="A49" s="18" t="s">
        <v>434</v>
      </c>
      <c r="B49" s="19" t="s">
        <v>151</v>
      </c>
      <c r="C49" s="19" t="s">
        <v>435</v>
      </c>
      <c r="D49" s="19" t="s">
        <v>436</v>
      </c>
      <c r="E49" s="19" t="s">
        <v>360</v>
      </c>
      <c r="F49" s="19" t="s">
        <v>437</v>
      </c>
    </row>
  </sheetData>
  <autoFilter ref="A1:F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3DF5"/>
    <pageSetUpPr fitToPage="false"/>
  </sheetPr>
  <dimension ref="A1:P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30"/>
    <col collapsed="false" customWidth="true" hidden="false" outlineLevel="0" max="4" min="4" style="0" width="24"/>
    <col collapsed="false" customWidth="true" hidden="false" outlineLevel="0" max="5" min="5" style="0" width="52"/>
    <col collapsed="false" customWidth="true" hidden="false" outlineLevel="0" max="6" min="6" style="0" width="44"/>
    <col collapsed="false" customWidth="true" hidden="false" outlineLevel="0" max="7" min="7" style="0" width="15"/>
    <col collapsed="false" customWidth="true" hidden="false" outlineLevel="0" max="8" min="8" style="0" width="9"/>
    <col collapsed="false" customWidth="true" hidden="false" outlineLevel="0" max="9" min="9" style="0" width="10"/>
    <col collapsed="false" customWidth="true" hidden="false" outlineLevel="0" max="11" min="10" style="0" width="8"/>
    <col collapsed="false" customWidth="true" hidden="false" outlineLevel="0" max="12" min="12" style="0" width="20"/>
    <col collapsed="false" customWidth="true" hidden="false" outlineLevel="0" max="13" min="13" style="0" width="60"/>
    <col collapsed="false" customWidth="true" hidden="false" outlineLevel="0" max="14" min="14" style="0" width="42"/>
    <col collapsed="false" customWidth="true" hidden="false" outlineLevel="0" max="15" min="15" style="0" width="28"/>
    <col collapsed="false" customWidth="true" hidden="false" outlineLevel="0" max="16" min="16" style="0" width="56"/>
  </cols>
  <sheetData>
    <row r="1" customFormat="false" ht="30" hidden="false" customHeight="true" outlineLevel="0" collapsed="false">
      <c r="A1" s="17" t="s">
        <v>438</v>
      </c>
      <c r="B1" s="17" t="s">
        <v>439</v>
      </c>
      <c r="C1" s="17" t="s">
        <v>440</v>
      </c>
      <c r="D1" s="17" t="s">
        <v>441</v>
      </c>
      <c r="E1" s="17" t="s">
        <v>442</v>
      </c>
      <c r="F1" s="17" t="s">
        <v>443</v>
      </c>
      <c r="G1" s="17" t="s">
        <v>44</v>
      </c>
      <c r="H1" s="17" t="s">
        <v>444</v>
      </c>
      <c r="I1" s="17" t="s">
        <v>445</v>
      </c>
      <c r="J1" s="17" t="s">
        <v>446</v>
      </c>
      <c r="K1" s="17" t="s">
        <v>447</v>
      </c>
      <c r="L1" s="17" t="s">
        <v>448</v>
      </c>
      <c r="M1" s="17" t="s">
        <v>449</v>
      </c>
      <c r="N1" s="17" t="s">
        <v>450</v>
      </c>
      <c r="O1" s="17" t="s">
        <v>451</v>
      </c>
      <c r="P1" s="17" t="s">
        <v>452</v>
      </c>
    </row>
    <row r="2" customFormat="false" ht="23.85" hidden="false" customHeight="false" outlineLevel="0" collapsed="false">
      <c r="A2" s="18" t="s">
        <v>453</v>
      </c>
      <c r="B2" s="19" t="s">
        <v>454</v>
      </c>
      <c r="C2" s="18" t="s">
        <v>455</v>
      </c>
      <c r="D2" s="19" t="s">
        <v>456</v>
      </c>
      <c r="E2" s="19" t="s">
        <v>457</v>
      </c>
      <c r="F2" s="19" t="s">
        <v>458</v>
      </c>
      <c r="G2" s="19" t="s">
        <v>459</v>
      </c>
      <c r="H2" s="25" t="s">
        <v>460</v>
      </c>
      <c r="I2" s="19" t="s">
        <v>461</v>
      </c>
      <c r="J2" s="19" t="s">
        <v>462</v>
      </c>
      <c r="K2" s="19" t="s">
        <v>463</v>
      </c>
      <c r="L2" s="19" t="s">
        <v>464</v>
      </c>
      <c r="M2" s="19" t="s">
        <v>465</v>
      </c>
      <c r="N2" s="19" t="s">
        <v>466</v>
      </c>
      <c r="O2" s="19" t="s">
        <v>467</v>
      </c>
      <c r="P2" s="19" t="s">
        <v>468</v>
      </c>
    </row>
    <row r="3" customFormat="false" ht="35.05" hidden="false" customHeight="false" outlineLevel="0" collapsed="false">
      <c r="A3" s="18" t="s">
        <v>94</v>
      </c>
      <c r="B3" s="19" t="s">
        <v>454</v>
      </c>
      <c r="C3" s="18" t="s">
        <v>469</v>
      </c>
      <c r="D3" s="19" t="s">
        <v>470</v>
      </c>
      <c r="E3" s="19" t="s">
        <v>471</v>
      </c>
      <c r="F3" s="19" t="s">
        <v>472</v>
      </c>
      <c r="G3" s="19" t="s">
        <v>473</v>
      </c>
      <c r="H3" s="25" t="s">
        <v>460</v>
      </c>
      <c r="I3" s="19" t="s">
        <v>461</v>
      </c>
      <c r="J3" s="19" t="s">
        <v>462</v>
      </c>
      <c r="K3" s="19" t="s">
        <v>463</v>
      </c>
      <c r="L3" s="19" t="s">
        <v>474</v>
      </c>
      <c r="M3" s="19" t="s">
        <v>475</v>
      </c>
      <c r="N3" s="19" t="s">
        <v>476</v>
      </c>
      <c r="O3" s="19" t="s">
        <v>477</v>
      </c>
      <c r="P3" s="19" t="s">
        <v>478</v>
      </c>
    </row>
    <row r="4" customFormat="false" ht="35.05" hidden="false" customHeight="false" outlineLevel="0" collapsed="false">
      <c r="A4" s="18" t="s">
        <v>479</v>
      </c>
      <c r="B4" s="19" t="s">
        <v>454</v>
      </c>
      <c r="C4" s="18" t="s">
        <v>480</v>
      </c>
      <c r="D4" s="19" t="s">
        <v>481</v>
      </c>
      <c r="E4" s="19" t="s">
        <v>482</v>
      </c>
      <c r="F4" s="19" t="s">
        <v>483</v>
      </c>
      <c r="G4" s="19" t="s">
        <v>459</v>
      </c>
      <c r="H4" s="25" t="s">
        <v>460</v>
      </c>
      <c r="I4" s="19" t="s">
        <v>461</v>
      </c>
      <c r="J4" s="19" t="s">
        <v>484</v>
      </c>
      <c r="K4" s="19" t="s">
        <v>485</v>
      </c>
      <c r="L4" s="19" t="s">
        <v>453</v>
      </c>
      <c r="M4" s="19" t="s">
        <v>486</v>
      </c>
      <c r="N4" s="19" t="s">
        <v>487</v>
      </c>
      <c r="O4" s="19" t="s">
        <v>488</v>
      </c>
      <c r="P4" s="19" t="s">
        <v>489</v>
      </c>
    </row>
    <row r="5" customFormat="false" ht="23.85" hidden="false" customHeight="false" outlineLevel="0" collapsed="false">
      <c r="A5" s="18" t="s">
        <v>490</v>
      </c>
      <c r="B5" s="19" t="s">
        <v>454</v>
      </c>
      <c r="C5" s="18" t="s">
        <v>491</v>
      </c>
      <c r="D5" s="19" t="s">
        <v>492</v>
      </c>
      <c r="E5" s="19" t="s">
        <v>493</v>
      </c>
      <c r="F5" s="19" t="s">
        <v>494</v>
      </c>
      <c r="G5" s="19" t="s">
        <v>459</v>
      </c>
      <c r="H5" s="26" t="s">
        <v>495</v>
      </c>
      <c r="I5" s="19" t="s">
        <v>461</v>
      </c>
      <c r="J5" s="19" t="s">
        <v>496</v>
      </c>
      <c r="K5" s="19" t="s">
        <v>485</v>
      </c>
      <c r="L5" s="19" t="s">
        <v>479</v>
      </c>
      <c r="M5" s="19" t="s">
        <v>497</v>
      </c>
      <c r="N5" s="19" t="s">
        <v>498</v>
      </c>
      <c r="O5" s="19" t="s">
        <v>499</v>
      </c>
      <c r="P5" s="19" t="s">
        <v>500</v>
      </c>
    </row>
    <row r="6" customFormat="false" ht="35.05" hidden="false" customHeight="false" outlineLevel="0" collapsed="false">
      <c r="A6" s="18" t="s">
        <v>501</v>
      </c>
      <c r="B6" s="19" t="s">
        <v>454</v>
      </c>
      <c r="C6" s="18" t="s">
        <v>502</v>
      </c>
      <c r="D6" s="19" t="s">
        <v>503</v>
      </c>
      <c r="E6" s="19" t="s">
        <v>504</v>
      </c>
      <c r="F6" s="19" t="s">
        <v>505</v>
      </c>
      <c r="G6" s="19" t="s">
        <v>459</v>
      </c>
      <c r="H6" s="27" t="s">
        <v>506</v>
      </c>
      <c r="I6" s="19" t="s">
        <v>507</v>
      </c>
      <c r="J6" s="19" t="s">
        <v>496</v>
      </c>
      <c r="K6" s="19" t="s">
        <v>485</v>
      </c>
      <c r="L6" s="19" t="s">
        <v>508</v>
      </c>
      <c r="M6" s="19" t="s">
        <v>509</v>
      </c>
      <c r="N6" s="19" t="s">
        <v>510</v>
      </c>
      <c r="O6" s="19" t="s">
        <v>511</v>
      </c>
      <c r="P6" s="19" t="s">
        <v>512</v>
      </c>
    </row>
    <row r="7" customFormat="false" ht="23.85" hidden="false" customHeight="false" outlineLevel="0" collapsed="false">
      <c r="A7" s="18" t="s">
        <v>513</v>
      </c>
      <c r="B7" s="19" t="s">
        <v>454</v>
      </c>
      <c r="C7" s="18" t="s">
        <v>514</v>
      </c>
      <c r="D7" s="19" t="s">
        <v>515</v>
      </c>
      <c r="E7" s="19" t="s">
        <v>516</v>
      </c>
      <c r="F7" s="19" t="s">
        <v>517</v>
      </c>
      <c r="G7" s="19" t="s">
        <v>518</v>
      </c>
      <c r="H7" s="25" t="s">
        <v>460</v>
      </c>
      <c r="I7" s="19" t="s">
        <v>519</v>
      </c>
      <c r="J7" s="19" t="s">
        <v>484</v>
      </c>
      <c r="K7" s="19" t="s">
        <v>485</v>
      </c>
      <c r="L7" s="19" t="s">
        <v>116</v>
      </c>
      <c r="M7" s="19" t="s">
        <v>520</v>
      </c>
      <c r="N7" s="19" t="s">
        <v>521</v>
      </c>
      <c r="O7" s="19" t="s">
        <v>522</v>
      </c>
      <c r="P7" s="19" t="s">
        <v>523</v>
      </c>
    </row>
    <row r="8" customFormat="false" ht="23.85" hidden="false" customHeight="false" outlineLevel="0" collapsed="false">
      <c r="A8" s="18" t="s">
        <v>524</v>
      </c>
      <c r="B8" s="19" t="s">
        <v>454</v>
      </c>
      <c r="C8" s="18" t="s">
        <v>525</v>
      </c>
      <c r="D8" s="19" t="s">
        <v>526</v>
      </c>
      <c r="E8" s="19" t="s">
        <v>527</v>
      </c>
      <c r="F8" s="19" t="s">
        <v>528</v>
      </c>
      <c r="G8" s="19" t="s">
        <v>459</v>
      </c>
      <c r="H8" s="25" t="s">
        <v>460</v>
      </c>
      <c r="I8" s="19" t="s">
        <v>461</v>
      </c>
      <c r="J8" s="19" t="s">
        <v>496</v>
      </c>
      <c r="K8" s="19" t="s">
        <v>463</v>
      </c>
      <c r="L8" s="19" t="s">
        <v>453</v>
      </c>
      <c r="M8" s="19" t="s">
        <v>529</v>
      </c>
      <c r="N8" s="19" t="s">
        <v>530</v>
      </c>
      <c r="O8" s="19" t="s">
        <v>531</v>
      </c>
      <c r="P8" s="19" t="s">
        <v>532</v>
      </c>
    </row>
    <row r="9" customFormat="false" ht="23.85" hidden="false" customHeight="false" outlineLevel="0" collapsed="false">
      <c r="A9" s="18" t="s">
        <v>533</v>
      </c>
      <c r="B9" s="19" t="s">
        <v>454</v>
      </c>
      <c r="C9" s="18" t="s">
        <v>534</v>
      </c>
      <c r="D9" s="19" t="s">
        <v>535</v>
      </c>
      <c r="E9" s="19" t="s">
        <v>536</v>
      </c>
      <c r="F9" s="19" t="s">
        <v>537</v>
      </c>
      <c r="G9" s="19" t="s">
        <v>459</v>
      </c>
      <c r="H9" s="25" t="s">
        <v>460</v>
      </c>
      <c r="I9" s="19" t="s">
        <v>461</v>
      </c>
      <c r="J9" s="19" t="s">
        <v>496</v>
      </c>
      <c r="K9" s="19" t="s">
        <v>463</v>
      </c>
      <c r="L9" s="19" t="s">
        <v>453</v>
      </c>
      <c r="M9" s="19" t="s">
        <v>538</v>
      </c>
      <c r="N9" s="19" t="s">
        <v>539</v>
      </c>
      <c r="O9" s="19" t="s">
        <v>540</v>
      </c>
      <c r="P9" s="19" t="s">
        <v>541</v>
      </c>
    </row>
    <row r="10" customFormat="false" ht="46.25" hidden="false" customHeight="false" outlineLevel="0" collapsed="false">
      <c r="A10" s="18" t="s">
        <v>542</v>
      </c>
      <c r="B10" s="19" t="s">
        <v>543</v>
      </c>
      <c r="C10" s="18" t="s">
        <v>544</v>
      </c>
      <c r="D10" s="19" t="s">
        <v>545</v>
      </c>
      <c r="E10" s="19" t="s">
        <v>546</v>
      </c>
      <c r="F10" s="19" t="s">
        <v>547</v>
      </c>
      <c r="G10" s="19" t="s">
        <v>473</v>
      </c>
      <c r="H10" s="25" t="s">
        <v>460</v>
      </c>
      <c r="I10" s="19" t="s">
        <v>461</v>
      </c>
      <c r="J10" s="19" t="s">
        <v>496</v>
      </c>
      <c r="K10" s="19" t="s">
        <v>485</v>
      </c>
      <c r="L10" s="19" t="s">
        <v>548</v>
      </c>
      <c r="M10" s="19" t="s">
        <v>549</v>
      </c>
      <c r="N10" s="19" t="s">
        <v>550</v>
      </c>
      <c r="O10" s="19" t="s">
        <v>551</v>
      </c>
      <c r="P10" s="19" t="s">
        <v>552</v>
      </c>
    </row>
    <row r="11" customFormat="false" ht="46.25" hidden="false" customHeight="false" outlineLevel="0" collapsed="false">
      <c r="A11" s="18" t="s">
        <v>145</v>
      </c>
      <c r="B11" s="19" t="s">
        <v>543</v>
      </c>
      <c r="C11" s="18" t="s">
        <v>553</v>
      </c>
      <c r="D11" s="19" t="s">
        <v>554</v>
      </c>
      <c r="E11" s="19" t="s">
        <v>555</v>
      </c>
      <c r="F11" s="19" t="s">
        <v>556</v>
      </c>
      <c r="G11" s="19" t="s">
        <v>473</v>
      </c>
      <c r="H11" s="25" t="s">
        <v>460</v>
      </c>
      <c r="I11" s="19" t="s">
        <v>519</v>
      </c>
      <c r="J11" s="19" t="s">
        <v>496</v>
      </c>
      <c r="K11" s="19" t="s">
        <v>485</v>
      </c>
      <c r="L11" s="19" t="s">
        <v>542</v>
      </c>
      <c r="M11" s="19" t="s">
        <v>557</v>
      </c>
      <c r="N11" s="19" t="s">
        <v>558</v>
      </c>
      <c r="O11" s="19" t="s">
        <v>559</v>
      </c>
      <c r="P11" s="19" t="s">
        <v>560</v>
      </c>
    </row>
    <row r="12" customFormat="false" ht="35.05" hidden="false" customHeight="false" outlineLevel="0" collapsed="false">
      <c r="A12" s="18" t="s">
        <v>561</v>
      </c>
      <c r="B12" s="19" t="s">
        <v>543</v>
      </c>
      <c r="C12" s="18" t="s">
        <v>562</v>
      </c>
      <c r="D12" s="19" t="s">
        <v>470</v>
      </c>
      <c r="E12" s="19" t="s">
        <v>563</v>
      </c>
      <c r="F12" s="19" t="s">
        <v>564</v>
      </c>
      <c r="G12" s="19" t="s">
        <v>473</v>
      </c>
      <c r="H12" s="25" t="s">
        <v>460</v>
      </c>
      <c r="I12" s="19" t="s">
        <v>519</v>
      </c>
      <c r="J12" s="19" t="s">
        <v>462</v>
      </c>
      <c r="K12" s="19" t="s">
        <v>463</v>
      </c>
      <c r="L12" s="19" t="s">
        <v>565</v>
      </c>
      <c r="M12" s="19" t="s">
        <v>566</v>
      </c>
      <c r="N12" s="19" t="s">
        <v>567</v>
      </c>
      <c r="O12" s="19" t="s">
        <v>568</v>
      </c>
      <c r="P12" s="19" t="s">
        <v>569</v>
      </c>
    </row>
    <row r="13" customFormat="false" ht="23.85" hidden="false" customHeight="false" outlineLevel="0" collapsed="false">
      <c r="A13" s="18" t="s">
        <v>570</v>
      </c>
      <c r="B13" s="19" t="s">
        <v>543</v>
      </c>
      <c r="C13" s="18" t="s">
        <v>571</v>
      </c>
      <c r="D13" s="19" t="s">
        <v>470</v>
      </c>
      <c r="E13" s="19" t="s">
        <v>572</v>
      </c>
      <c r="F13" s="19" t="s">
        <v>573</v>
      </c>
      <c r="G13" s="19" t="s">
        <v>473</v>
      </c>
      <c r="H13" s="25" t="s">
        <v>460</v>
      </c>
      <c r="I13" s="19" t="s">
        <v>519</v>
      </c>
      <c r="J13" s="19" t="s">
        <v>462</v>
      </c>
      <c r="K13" s="19" t="s">
        <v>463</v>
      </c>
      <c r="L13" s="19" t="s">
        <v>574</v>
      </c>
      <c r="M13" s="19" t="s">
        <v>575</v>
      </c>
      <c r="N13" s="19" t="s">
        <v>576</v>
      </c>
      <c r="O13" s="19" t="s">
        <v>577</v>
      </c>
      <c r="P13" s="19" t="s">
        <v>578</v>
      </c>
    </row>
    <row r="14" customFormat="false" ht="35.05" hidden="false" customHeight="false" outlineLevel="0" collapsed="false">
      <c r="A14" s="18" t="s">
        <v>579</v>
      </c>
      <c r="B14" s="19" t="s">
        <v>543</v>
      </c>
      <c r="C14" s="18" t="s">
        <v>580</v>
      </c>
      <c r="D14" s="19" t="s">
        <v>470</v>
      </c>
      <c r="E14" s="19" t="s">
        <v>581</v>
      </c>
      <c r="F14" s="19" t="s">
        <v>582</v>
      </c>
      <c r="G14" s="19" t="s">
        <v>473</v>
      </c>
      <c r="H14" s="25" t="s">
        <v>460</v>
      </c>
      <c r="I14" s="19" t="s">
        <v>519</v>
      </c>
      <c r="J14" s="19" t="s">
        <v>462</v>
      </c>
      <c r="K14" s="19" t="s">
        <v>463</v>
      </c>
      <c r="L14" s="19" t="s">
        <v>583</v>
      </c>
      <c r="M14" s="19" t="s">
        <v>584</v>
      </c>
      <c r="N14" s="19" t="s">
        <v>585</v>
      </c>
      <c r="O14" s="19" t="s">
        <v>586</v>
      </c>
      <c r="P14" s="19" t="s">
        <v>587</v>
      </c>
    </row>
    <row r="15" customFormat="false" ht="23.85" hidden="false" customHeight="false" outlineLevel="0" collapsed="false">
      <c r="A15" s="18" t="s">
        <v>116</v>
      </c>
      <c r="B15" s="19" t="s">
        <v>543</v>
      </c>
      <c r="C15" s="18" t="s">
        <v>588</v>
      </c>
      <c r="D15" s="19" t="s">
        <v>288</v>
      </c>
      <c r="E15" s="19" t="s">
        <v>589</v>
      </c>
      <c r="F15" s="19" t="s">
        <v>590</v>
      </c>
      <c r="G15" s="19" t="s">
        <v>473</v>
      </c>
      <c r="H15" s="25" t="s">
        <v>460</v>
      </c>
      <c r="I15" s="19" t="s">
        <v>519</v>
      </c>
      <c r="J15" s="19" t="s">
        <v>496</v>
      </c>
      <c r="K15" s="19" t="s">
        <v>463</v>
      </c>
      <c r="L15" s="19" t="s">
        <v>591</v>
      </c>
      <c r="M15" s="19" t="s">
        <v>592</v>
      </c>
      <c r="N15" s="19" t="s">
        <v>593</v>
      </c>
      <c r="O15" s="19" t="s">
        <v>594</v>
      </c>
      <c r="P15" s="19" t="s">
        <v>595</v>
      </c>
    </row>
    <row r="16" customFormat="false" ht="35.05" hidden="false" customHeight="false" outlineLevel="0" collapsed="false">
      <c r="A16" s="18" t="s">
        <v>596</v>
      </c>
      <c r="B16" s="19" t="s">
        <v>543</v>
      </c>
      <c r="C16" s="18" t="s">
        <v>597</v>
      </c>
      <c r="D16" s="19" t="s">
        <v>297</v>
      </c>
      <c r="E16" s="19" t="s">
        <v>598</v>
      </c>
      <c r="F16" s="19" t="s">
        <v>599</v>
      </c>
      <c r="G16" s="19" t="s">
        <v>473</v>
      </c>
      <c r="H16" s="25" t="s">
        <v>460</v>
      </c>
      <c r="I16" s="19" t="s">
        <v>519</v>
      </c>
      <c r="J16" s="19" t="s">
        <v>462</v>
      </c>
      <c r="K16" s="19" t="s">
        <v>463</v>
      </c>
      <c r="L16" s="19" t="s">
        <v>600</v>
      </c>
      <c r="M16" s="19" t="s">
        <v>601</v>
      </c>
      <c r="N16" s="19" t="s">
        <v>602</v>
      </c>
      <c r="O16" s="19" t="s">
        <v>603</v>
      </c>
      <c r="P16" s="19" t="s">
        <v>604</v>
      </c>
    </row>
    <row r="17" customFormat="false" ht="23.85" hidden="false" customHeight="false" outlineLevel="0" collapsed="false">
      <c r="A17" s="18" t="s">
        <v>605</v>
      </c>
      <c r="B17" s="19" t="s">
        <v>543</v>
      </c>
      <c r="C17" s="18" t="s">
        <v>606</v>
      </c>
      <c r="D17" s="19" t="s">
        <v>470</v>
      </c>
      <c r="E17" s="19" t="s">
        <v>607</v>
      </c>
      <c r="F17" s="19" t="s">
        <v>608</v>
      </c>
      <c r="G17" s="19" t="s">
        <v>518</v>
      </c>
      <c r="H17" s="25" t="s">
        <v>460</v>
      </c>
      <c r="I17" s="19" t="s">
        <v>519</v>
      </c>
      <c r="J17" s="19" t="s">
        <v>496</v>
      </c>
      <c r="K17" s="19" t="s">
        <v>463</v>
      </c>
      <c r="L17" s="19" t="s">
        <v>596</v>
      </c>
      <c r="M17" s="19" t="s">
        <v>609</v>
      </c>
      <c r="N17" s="19" t="s">
        <v>610</v>
      </c>
      <c r="O17" s="19" t="s">
        <v>611</v>
      </c>
      <c r="P17" s="19" t="s">
        <v>612</v>
      </c>
    </row>
    <row r="18" customFormat="false" ht="23.85" hidden="false" customHeight="false" outlineLevel="0" collapsed="false">
      <c r="A18" s="18" t="s">
        <v>613</v>
      </c>
      <c r="B18" s="19" t="s">
        <v>543</v>
      </c>
      <c r="C18" s="18" t="s">
        <v>614</v>
      </c>
      <c r="D18" s="19" t="s">
        <v>470</v>
      </c>
      <c r="E18" s="19" t="s">
        <v>615</v>
      </c>
      <c r="F18" s="19" t="s">
        <v>616</v>
      </c>
      <c r="G18" s="19" t="s">
        <v>518</v>
      </c>
      <c r="H18" s="25" t="s">
        <v>460</v>
      </c>
      <c r="I18" s="19" t="s">
        <v>519</v>
      </c>
      <c r="J18" s="19" t="s">
        <v>496</v>
      </c>
      <c r="K18" s="19" t="s">
        <v>463</v>
      </c>
      <c r="L18" s="19" t="s">
        <v>596</v>
      </c>
      <c r="M18" s="19" t="s">
        <v>617</v>
      </c>
      <c r="N18" s="19" t="s">
        <v>618</v>
      </c>
      <c r="O18" s="19" t="s">
        <v>95</v>
      </c>
      <c r="P18" s="19" t="s">
        <v>619</v>
      </c>
    </row>
    <row r="19" customFormat="false" ht="23.85" hidden="false" customHeight="false" outlineLevel="0" collapsed="false">
      <c r="A19" s="18" t="s">
        <v>620</v>
      </c>
      <c r="B19" s="19" t="s">
        <v>543</v>
      </c>
      <c r="C19" s="18" t="s">
        <v>621</v>
      </c>
      <c r="D19" s="19" t="s">
        <v>297</v>
      </c>
      <c r="E19" s="19" t="s">
        <v>622</v>
      </c>
      <c r="F19" s="19" t="s">
        <v>623</v>
      </c>
      <c r="G19" s="19" t="s">
        <v>518</v>
      </c>
      <c r="H19" s="25" t="s">
        <v>460</v>
      </c>
      <c r="I19" s="19" t="s">
        <v>519</v>
      </c>
      <c r="J19" s="19" t="s">
        <v>496</v>
      </c>
      <c r="K19" s="19" t="s">
        <v>463</v>
      </c>
      <c r="L19" s="19" t="s">
        <v>579</v>
      </c>
      <c r="M19" s="19" t="s">
        <v>624</v>
      </c>
      <c r="N19" s="19" t="s">
        <v>625</v>
      </c>
      <c r="O19" s="19" t="s">
        <v>626</v>
      </c>
      <c r="P19" s="19" t="s">
        <v>627</v>
      </c>
    </row>
    <row r="20" customFormat="false" ht="23.85" hidden="false" customHeight="false" outlineLevel="0" collapsed="false">
      <c r="A20" s="18" t="s">
        <v>628</v>
      </c>
      <c r="B20" s="19" t="s">
        <v>543</v>
      </c>
      <c r="C20" s="18" t="s">
        <v>629</v>
      </c>
      <c r="D20" s="19" t="s">
        <v>630</v>
      </c>
      <c r="E20" s="19" t="s">
        <v>631</v>
      </c>
      <c r="F20" s="19" t="s">
        <v>632</v>
      </c>
      <c r="G20" s="19" t="s">
        <v>473</v>
      </c>
      <c r="H20" s="27" t="s">
        <v>506</v>
      </c>
      <c r="I20" s="19" t="s">
        <v>507</v>
      </c>
      <c r="J20" s="19" t="s">
        <v>496</v>
      </c>
      <c r="K20" s="19" t="s">
        <v>463</v>
      </c>
      <c r="L20" s="19" t="s">
        <v>116</v>
      </c>
      <c r="M20" s="19" t="s">
        <v>633</v>
      </c>
      <c r="N20" s="19" t="s">
        <v>634</v>
      </c>
      <c r="O20" s="19" t="s">
        <v>635</v>
      </c>
      <c r="P20" s="19" t="s">
        <v>636</v>
      </c>
    </row>
    <row r="21" customFormat="false" ht="46.25" hidden="false" customHeight="false" outlineLevel="0" collapsed="false">
      <c r="A21" s="18" t="s">
        <v>126</v>
      </c>
      <c r="B21" s="19" t="s">
        <v>637</v>
      </c>
      <c r="C21" s="18" t="s">
        <v>638</v>
      </c>
      <c r="D21" s="19" t="s">
        <v>419</v>
      </c>
      <c r="E21" s="19" t="s">
        <v>639</v>
      </c>
      <c r="F21" s="19" t="s">
        <v>640</v>
      </c>
      <c r="G21" s="19" t="s">
        <v>473</v>
      </c>
      <c r="H21" s="25" t="s">
        <v>460</v>
      </c>
      <c r="I21" s="19" t="s">
        <v>519</v>
      </c>
      <c r="J21" s="19" t="s">
        <v>496</v>
      </c>
      <c r="K21" s="19" t="s">
        <v>463</v>
      </c>
      <c r="L21" s="19" t="s">
        <v>641</v>
      </c>
      <c r="M21" s="19" t="s">
        <v>642</v>
      </c>
      <c r="N21" s="19" t="s">
        <v>643</v>
      </c>
      <c r="O21" s="19" t="s">
        <v>644</v>
      </c>
      <c r="P21" s="19" t="s">
        <v>645</v>
      </c>
    </row>
    <row r="22" customFormat="false" ht="35.05" hidden="false" customHeight="false" outlineLevel="0" collapsed="false">
      <c r="A22" s="18" t="s">
        <v>646</v>
      </c>
      <c r="B22" s="19" t="s">
        <v>637</v>
      </c>
      <c r="C22" s="18" t="s">
        <v>647</v>
      </c>
      <c r="D22" s="19" t="s">
        <v>648</v>
      </c>
      <c r="E22" s="19" t="s">
        <v>649</v>
      </c>
      <c r="F22" s="19" t="s">
        <v>650</v>
      </c>
      <c r="G22" s="19" t="s">
        <v>473</v>
      </c>
      <c r="H22" s="25" t="s">
        <v>460</v>
      </c>
      <c r="I22" s="19" t="s">
        <v>519</v>
      </c>
      <c r="J22" s="19" t="s">
        <v>462</v>
      </c>
      <c r="K22" s="19" t="s">
        <v>463</v>
      </c>
      <c r="L22" s="19" t="s">
        <v>651</v>
      </c>
      <c r="M22" s="19" t="s">
        <v>652</v>
      </c>
      <c r="N22" s="19" t="s">
        <v>653</v>
      </c>
      <c r="O22" s="19" t="s">
        <v>654</v>
      </c>
      <c r="P22" s="19" t="s">
        <v>655</v>
      </c>
    </row>
    <row r="23" customFormat="false" ht="46.25" hidden="false" customHeight="false" outlineLevel="0" collapsed="false">
      <c r="A23" s="18" t="s">
        <v>656</v>
      </c>
      <c r="B23" s="19" t="s">
        <v>637</v>
      </c>
      <c r="C23" s="18" t="s">
        <v>657</v>
      </c>
      <c r="D23" s="19" t="s">
        <v>658</v>
      </c>
      <c r="E23" s="19" t="s">
        <v>659</v>
      </c>
      <c r="F23" s="19" t="s">
        <v>660</v>
      </c>
      <c r="G23" s="19" t="s">
        <v>473</v>
      </c>
      <c r="H23" s="25" t="s">
        <v>460</v>
      </c>
      <c r="I23" s="19" t="s">
        <v>519</v>
      </c>
      <c r="J23" s="19" t="s">
        <v>462</v>
      </c>
      <c r="K23" s="19" t="s">
        <v>463</v>
      </c>
      <c r="L23" s="19" t="s">
        <v>646</v>
      </c>
      <c r="M23" s="19" t="s">
        <v>661</v>
      </c>
      <c r="N23" s="19" t="s">
        <v>662</v>
      </c>
      <c r="O23" s="19" t="s">
        <v>663</v>
      </c>
      <c r="P23" s="19" t="s">
        <v>664</v>
      </c>
    </row>
    <row r="24" customFormat="false" ht="35.05" hidden="false" customHeight="false" outlineLevel="0" collapsed="false">
      <c r="A24" s="18" t="s">
        <v>140</v>
      </c>
      <c r="B24" s="19" t="s">
        <v>637</v>
      </c>
      <c r="C24" s="18" t="s">
        <v>665</v>
      </c>
      <c r="D24" s="19" t="s">
        <v>244</v>
      </c>
      <c r="E24" s="19" t="s">
        <v>666</v>
      </c>
      <c r="F24" s="19" t="s">
        <v>667</v>
      </c>
      <c r="G24" s="19" t="s">
        <v>473</v>
      </c>
      <c r="H24" s="25" t="s">
        <v>460</v>
      </c>
      <c r="I24" s="19" t="s">
        <v>519</v>
      </c>
      <c r="J24" s="19" t="s">
        <v>462</v>
      </c>
      <c r="K24" s="19" t="s">
        <v>463</v>
      </c>
      <c r="L24" s="19" t="s">
        <v>668</v>
      </c>
      <c r="M24" s="19" t="s">
        <v>669</v>
      </c>
      <c r="N24" s="19" t="s">
        <v>670</v>
      </c>
      <c r="O24" s="19" t="s">
        <v>671</v>
      </c>
      <c r="P24" s="19" t="s">
        <v>672</v>
      </c>
    </row>
    <row r="25" customFormat="false" ht="23.85" hidden="false" customHeight="false" outlineLevel="0" collapsed="false">
      <c r="A25" s="18" t="s">
        <v>673</v>
      </c>
      <c r="B25" s="19" t="s">
        <v>637</v>
      </c>
      <c r="C25" s="18" t="s">
        <v>674</v>
      </c>
      <c r="D25" s="19" t="s">
        <v>257</v>
      </c>
      <c r="E25" s="19" t="s">
        <v>675</v>
      </c>
      <c r="F25" s="19" t="s">
        <v>676</v>
      </c>
      <c r="G25" s="19" t="s">
        <v>459</v>
      </c>
      <c r="H25" s="25" t="s">
        <v>460</v>
      </c>
      <c r="I25" s="19" t="s">
        <v>519</v>
      </c>
      <c r="J25" s="19" t="s">
        <v>496</v>
      </c>
      <c r="K25" s="19" t="s">
        <v>485</v>
      </c>
      <c r="L25" s="19" t="s">
        <v>677</v>
      </c>
      <c r="M25" s="19" t="s">
        <v>678</v>
      </c>
      <c r="N25" s="19" t="s">
        <v>679</v>
      </c>
      <c r="O25" s="19" t="s">
        <v>95</v>
      </c>
      <c r="P25" s="19" t="s">
        <v>680</v>
      </c>
    </row>
    <row r="26" customFormat="false" ht="23.85" hidden="false" customHeight="false" outlineLevel="0" collapsed="false">
      <c r="A26" s="18" t="s">
        <v>681</v>
      </c>
      <c r="B26" s="19" t="s">
        <v>637</v>
      </c>
      <c r="C26" s="18" t="s">
        <v>682</v>
      </c>
      <c r="D26" s="19" t="s">
        <v>683</v>
      </c>
      <c r="E26" s="19" t="s">
        <v>684</v>
      </c>
      <c r="F26" s="19" t="s">
        <v>685</v>
      </c>
      <c r="G26" s="19" t="s">
        <v>518</v>
      </c>
      <c r="H26" s="25" t="s">
        <v>460</v>
      </c>
      <c r="I26" s="19" t="s">
        <v>519</v>
      </c>
      <c r="J26" s="19" t="s">
        <v>496</v>
      </c>
      <c r="K26" s="19" t="s">
        <v>463</v>
      </c>
      <c r="L26" s="19" t="s">
        <v>140</v>
      </c>
      <c r="M26" s="19" t="s">
        <v>686</v>
      </c>
      <c r="N26" s="19" t="s">
        <v>687</v>
      </c>
      <c r="O26" s="19" t="s">
        <v>688</v>
      </c>
      <c r="P26" s="19" t="s">
        <v>689</v>
      </c>
    </row>
    <row r="27" customFormat="false" ht="23.85" hidden="false" customHeight="false" outlineLevel="0" collapsed="false">
      <c r="A27" s="18" t="s">
        <v>690</v>
      </c>
      <c r="B27" s="19" t="s">
        <v>637</v>
      </c>
      <c r="C27" s="18" t="s">
        <v>691</v>
      </c>
      <c r="D27" s="19" t="s">
        <v>470</v>
      </c>
      <c r="E27" s="19" t="s">
        <v>692</v>
      </c>
      <c r="F27" s="19" t="s">
        <v>693</v>
      </c>
      <c r="G27" s="19" t="s">
        <v>518</v>
      </c>
      <c r="H27" s="25" t="s">
        <v>460</v>
      </c>
      <c r="I27" s="19" t="s">
        <v>519</v>
      </c>
      <c r="J27" s="19" t="s">
        <v>462</v>
      </c>
      <c r="K27" s="19" t="s">
        <v>463</v>
      </c>
      <c r="L27" s="19" t="s">
        <v>140</v>
      </c>
      <c r="M27" s="19" t="s">
        <v>694</v>
      </c>
      <c r="N27" s="19" t="s">
        <v>95</v>
      </c>
      <c r="O27" s="19" t="s">
        <v>95</v>
      </c>
      <c r="P27" s="19" t="s">
        <v>695</v>
      </c>
    </row>
    <row r="28" customFormat="false" ht="23.85" hidden="false" customHeight="false" outlineLevel="0" collapsed="false">
      <c r="A28" s="18" t="s">
        <v>677</v>
      </c>
      <c r="B28" s="19" t="s">
        <v>637</v>
      </c>
      <c r="C28" s="18" t="s">
        <v>696</v>
      </c>
      <c r="D28" s="19" t="s">
        <v>470</v>
      </c>
      <c r="E28" s="19" t="s">
        <v>697</v>
      </c>
      <c r="F28" s="19" t="s">
        <v>698</v>
      </c>
      <c r="G28" s="19" t="s">
        <v>518</v>
      </c>
      <c r="H28" s="25" t="s">
        <v>460</v>
      </c>
      <c r="I28" s="19" t="s">
        <v>519</v>
      </c>
      <c r="J28" s="19" t="s">
        <v>462</v>
      </c>
      <c r="K28" s="19" t="s">
        <v>463</v>
      </c>
      <c r="L28" s="19" t="s">
        <v>140</v>
      </c>
      <c r="M28" s="19" t="s">
        <v>699</v>
      </c>
      <c r="N28" s="19" t="s">
        <v>700</v>
      </c>
      <c r="O28" s="19" t="s">
        <v>701</v>
      </c>
      <c r="P28" s="19" t="s">
        <v>702</v>
      </c>
    </row>
    <row r="29" customFormat="false" ht="23.85" hidden="false" customHeight="false" outlineLevel="0" collapsed="false">
      <c r="A29" s="18" t="s">
        <v>703</v>
      </c>
      <c r="B29" s="19" t="s">
        <v>704</v>
      </c>
      <c r="C29" s="18" t="s">
        <v>705</v>
      </c>
      <c r="D29" s="19" t="s">
        <v>310</v>
      </c>
      <c r="E29" s="19" t="s">
        <v>706</v>
      </c>
      <c r="F29" s="19" t="s">
        <v>707</v>
      </c>
      <c r="G29" s="19" t="s">
        <v>473</v>
      </c>
      <c r="H29" s="25" t="s">
        <v>460</v>
      </c>
      <c r="I29" s="19" t="s">
        <v>507</v>
      </c>
      <c r="J29" s="19" t="s">
        <v>462</v>
      </c>
      <c r="K29" s="19" t="s">
        <v>463</v>
      </c>
      <c r="L29" s="19" t="s">
        <v>708</v>
      </c>
      <c r="M29" s="19" t="s">
        <v>709</v>
      </c>
      <c r="N29" s="19" t="s">
        <v>710</v>
      </c>
      <c r="O29" s="19" t="s">
        <v>711</v>
      </c>
      <c r="P29" s="19" t="s">
        <v>712</v>
      </c>
    </row>
    <row r="30" customFormat="false" ht="23.85" hidden="false" customHeight="false" outlineLevel="0" collapsed="false">
      <c r="A30" s="18" t="s">
        <v>713</v>
      </c>
      <c r="B30" s="19" t="s">
        <v>704</v>
      </c>
      <c r="C30" s="18" t="s">
        <v>714</v>
      </c>
      <c r="D30" s="19" t="s">
        <v>314</v>
      </c>
      <c r="E30" s="19" t="s">
        <v>715</v>
      </c>
      <c r="F30" s="19" t="s">
        <v>716</v>
      </c>
      <c r="G30" s="19" t="s">
        <v>473</v>
      </c>
      <c r="H30" s="25" t="s">
        <v>460</v>
      </c>
      <c r="I30" s="19" t="s">
        <v>507</v>
      </c>
      <c r="J30" s="19" t="s">
        <v>462</v>
      </c>
      <c r="K30" s="19" t="s">
        <v>463</v>
      </c>
      <c r="L30" s="19" t="s">
        <v>717</v>
      </c>
      <c r="M30" s="19" t="s">
        <v>718</v>
      </c>
      <c r="N30" s="19" t="s">
        <v>719</v>
      </c>
      <c r="O30" s="19" t="s">
        <v>720</v>
      </c>
      <c r="P30" s="19" t="s">
        <v>721</v>
      </c>
    </row>
    <row r="31" customFormat="false" ht="23.85" hidden="false" customHeight="false" outlineLevel="0" collapsed="false">
      <c r="A31" s="18" t="s">
        <v>722</v>
      </c>
      <c r="B31" s="19" t="s">
        <v>704</v>
      </c>
      <c r="C31" s="18" t="s">
        <v>723</v>
      </c>
      <c r="D31" s="19" t="s">
        <v>320</v>
      </c>
      <c r="E31" s="19" t="s">
        <v>724</v>
      </c>
      <c r="F31" s="19" t="s">
        <v>725</v>
      </c>
      <c r="G31" s="19" t="s">
        <v>473</v>
      </c>
      <c r="H31" s="25" t="s">
        <v>460</v>
      </c>
      <c r="I31" s="19" t="s">
        <v>507</v>
      </c>
      <c r="J31" s="19" t="s">
        <v>462</v>
      </c>
      <c r="K31" s="19" t="s">
        <v>463</v>
      </c>
      <c r="L31" s="19" t="s">
        <v>717</v>
      </c>
      <c r="M31" s="19" t="s">
        <v>726</v>
      </c>
      <c r="N31" s="19" t="s">
        <v>727</v>
      </c>
      <c r="O31" s="19" t="s">
        <v>728</v>
      </c>
      <c r="P31" s="19" t="s">
        <v>729</v>
      </c>
    </row>
    <row r="32" customFormat="false" ht="23.85" hidden="false" customHeight="false" outlineLevel="0" collapsed="false">
      <c r="A32" s="18" t="s">
        <v>730</v>
      </c>
      <c r="B32" s="19" t="s">
        <v>704</v>
      </c>
      <c r="C32" s="18" t="s">
        <v>731</v>
      </c>
      <c r="D32" s="19" t="s">
        <v>732</v>
      </c>
      <c r="E32" s="19" t="s">
        <v>733</v>
      </c>
      <c r="F32" s="19" t="s">
        <v>734</v>
      </c>
      <c r="G32" s="19" t="s">
        <v>459</v>
      </c>
      <c r="H32" s="25" t="s">
        <v>460</v>
      </c>
      <c r="I32" s="19" t="s">
        <v>507</v>
      </c>
      <c r="J32" s="19" t="s">
        <v>496</v>
      </c>
      <c r="K32" s="19" t="s">
        <v>463</v>
      </c>
      <c r="L32" s="19" t="s">
        <v>703</v>
      </c>
      <c r="M32" s="19" t="s">
        <v>735</v>
      </c>
      <c r="N32" s="19" t="s">
        <v>736</v>
      </c>
      <c r="O32" s="19" t="s">
        <v>737</v>
      </c>
      <c r="P32" s="19" t="s">
        <v>738</v>
      </c>
    </row>
    <row r="33" customFormat="false" ht="23.85" hidden="false" customHeight="false" outlineLevel="0" collapsed="false">
      <c r="A33" s="18" t="s">
        <v>739</v>
      </c>
      <c r="B33" s="19" t="s">
        <v>704</v>
      </c>
      <c r="C33" s="18" t="s">
        <v>740</v>
      </c>
      <c r="D33" s="19" t="s">
        <v>741</v>
      </c>
      <c r="E33" s="19" t="s">
        <v>742</v>
      </c>
      <c r="F33" s="19" t="s">
        <v>743</v>
      </c>
      <c r="G33" s="19" t="s">
        <v>459</v>
      </c>
      <c r="H33" s="25" t="s">
        <v>460</v>
      </c>
      <c r="I33" s="19" t="s">
        <v>507</v>
      </c>
      <c r="J33" s="19" t="s">
        <v>496</v>
      </c>
      <c r="K33" s="19" t="s">
        <v>463</v>
      </c>
      <c r="L33" s="19" t="s">
        <v>703</v>
      </c>
      <c r="M33" s="19" t="s">
        <v>744</v>
      </c>
      <c r="N33" s="19" t="s">
        <v>745</v>
      </c>
      <c r="O33" s="19" t="s">
        <v>746</v>
      </c>
      <c r="P33" s="19" t="s">
        <v>747</v>
      </c>
    </row>
    <row r="34" customFormat="false" ht="35.05" hidden="false" customHeight="false" outlineLevel="0" collapsed="false">
      <c r="A34" s="18" t="s">
        <v>748</v>
      </c>
      <c r="B34" s="19" t="s">
        <v>704</v>
      </c>
      <c r="C34" s="18" t="s">
        <v>749</v>
      </c>
      <c r="D34" s="19" t="s">
        <v>470</v>
      </c>
      <c r="E34" s="19" t="s">
        <v>750</v>
      </c>
      <c r="F34" s="19" t="s">
        <v>751</v>
      </c>
      <c r="G34" s="19" t="s">
        <v>518</v>
      </c>
      <c r="H34" s="25" t="s">
        <v>460</v>
      </c>
      <c r="I34" s="19" t="s">
        <v>507</v>
      </c>
      <c r="J34" s="19" t="s">
        <v>462</v>
      </c>
      <c r="K34" s="19" t="s">
        <v>463</v>
      </c>
      <c r="L34" s="19" t="s">
        <v>690</v>
      </c>
      <c r="M34" s="19" t="s">
        <v>752</v>
      </c>
      <c r="N34" s="19" t="s">
        <v>95</v>
      </c>
      <c r="O34" s="19" t="s">
        <v>95</v>
      </c>
      <c r="P34" s="19" t="s">
        <v>753</v>
      </c>
    </row>
    <row r="35" customFormat="false" ht="23.85" hidden="false" customHeight="false" outlineLevel="0" collapsed="false">
      <c r="A35" s="18" t="s">
        <v>174</v>
      </c>
      <c r="B35" s="19" t="s">
        <v>754</v>
      </c>
      <c r="C35" s="18" t="s">
        <v>755</v>
      </c>
      <c r="D35" s="19" t="s">
        <v>336</v>
      </c>
      <c r="E35" s="19" t="s">
        <v>756</v>
      </c>
      <c r="F35" s="19" t="s">
        <v>757</v>
      </c>
      <c r="G35" s="19" t="s">
        <v>473</v>
      </c>
      <c r="H35" s="25" t="s">
        <v>460</v>
      </c>
      <c r="I35" s="19" t="s">
        <v>507</v>
      </c>
      <c r="J35" s="19" t="s">
        <v>462</v>
      </c>
      <c r="K35" s="19" t="s">
        <v>758</v>
      </c>
      <c r="L35" s="19" t="s">
        <v>713</v>
      </c>
      <c r="M35" s="19" t="s">
        <v>759</v>
      </c>
      <c r="N35" s="19" t="s">
        <v>760</v>
      </c>
      <c r="O35" s="19" t="s">
        <v>761</v>
      </c>
      <c r="P35" s="19" t="s">
        <v>762</v>
      </c>
    </row>
    <row r="36" customFormat="false" ht="35.05" hidden="false" customHeight="false" outlineLevel="0" collapsed="false">
      <c r="A36" s="18" t="s">
        <v>160</v>
      </c>
      <c r="B36" s="19" t="s">
        <v>754</v>
      </c>
      <c r="C36" s="18" t="s">
        <v>763</v>
      </c>
      <c r="D36" s="19" t="s">
        <v>764</v>
      </c>
      <c r="E36" s="19" t="s">
        <v>765</v>
      </c>
      <c r="F36" s="19" t="s">
        <v>766</v>
      </c>
      <c r="G36" s="19" t="s">
        <v>473</v>
      </c>
      <c r="H36" s="25" t="s">
        <v>460</v>
      </c>
      <c r="I36" s="19" t="s">
        <v>507</v>
      </c>
      <c r="J36" s="19" t="s">
        <v>496</v>
      </c>
      <c r="K36" s="19" t="s">
        <v>758</v>
      </c>
      <c r="L36" s="19" t="s">
        <v>174</v>
      </c>
      <c r="M36" s="19" t="s">
        <v>767</v>
      </c>
      <c r="N36" s="19" t="s">
        <v>768</v>
      </c>
      <c r="O36" s="19" t="s">
        <v>769</v>
      </c>
      <c r="P36" s="19" t="s">
        <v>770</v>
      </c>
    </row>
    <row r="37" customFormat="false" ht="35.05" hidden="false" customHeight="false" outlineLevel="0" collapsed="false">
      <c r="A37" s="18" t="s">
        <v>170</v>
      </c>
      <c r="B37" s="19" t="s">
        <v>754</v>
      </c>
      <c r="C37" s="18" t="s">
        <v>771</v>
      </c>
      <c r="D37" s="19" t="s">
        <v>772</v>
      </c>
      <c r="E37" s="19" t="s">
        <v>773</v>
      </c>
      <c r="F37" s="19" t="s">
        <v>774</v>
      </c>
      <c r="G37" s="19" t="s">
        <v>473</v>
      </c>
      <c r="H37" s="25" t="s">
        <v>460</v>
      </c>
      <c r="I37" s="19" t="s">
        <v>507</v>
      </c>
      <c r="J37" s="19" t="s">
        <v>462</v>
      </c>
      <c r="K37" s="19" t="s">
        <v>758</v>
      </c>
      <c r="L37" s="19" t="s">
        <v>775</v>
      </c>
      <c r="M37" s="19" t="s">
        <v>776</v>
      </c>
      <c r="N37" s="19" t="s">
        <v>777</v>
      </c>
      <c r="O37" s="19" t="s">
        <v>95</v>
      </c>
      <c r="P37" s="19" t="s">
        <v>778</v>
      </c>
    </row>
    <row r="38" customFormat="false" ht="23.85" hidden="false" customHeight="false" outlineLevel="0" collapsed="false">
      <c r="A38" s="18" t="s">
        <v>779</v>
      </c>
      <c r="B38" s="19" t="s">
        <v>754</v>
      </c>
      <c r="C38" s="18" t="s">
        <v>780</v>
      </c>
      <c r="D38" s="19" t="s">
        <v>470</v>
      </c>
      <c r="E38" s="19" t="s">
        <v>781</v>
      </c>
      <c r="F38" s="19" t="s">
        <v>782</v>
      </c>
      <c r="G38" s="19" t="s">
        <v>518</v>
      </c>
      <c r="H38" s="25" t="s">
        <v>460</v>
      </c>
      <c r="I38" s="19" t="s">
        <v>783</v>
      </c>
      <c r="J38" s="19" t="s">
        <v>496</v>
      </c>
      <c r="K38" s="19" t="s">
        <v>758</v>
      </c>
      <c r="L38" s="19" t="s">
        <v>174</v>
      </c>
      <c r="M38" s="19" t="s">
        <v>784</v>
      </c>
      <c r="N38" s="19" t="s">
        <v>785</v>
      </c>
      <c r="O38" s="19" t="s">
        <v>95</v>
      </c>
      <c r="P38" s="19" t="s">
        <v>786</v>
      </c>
    </row>
    <row r="39" customFormat="false" ht="23.85" hidden="false" customHeight="false" outlineLevel="0" collapsed="false">
      <c r="A39" s="18" t="s">
        <v>787</v>
      </c>
      <c r="B39" s="19" t="s">
        <v>754</v>
      </c>
      <c r="C39" s="18" t="s">
        <v>788</v>
      </c>
      <c r="D39" s="19" t="s">
        <v>470</v>
      </c>
      <c r="E39" s="19" t="s">
        <v>789</v>
      </c>
      <c r="F39" s="19" t="s">
        <v>790</v>
      </c>
      <c r="G39" s="19" t="s">
        <v>473</v>
      </c>
      <c r="H39" s="27" t="s">
        <v>506</v>
      </c>
      <c r="I39" s="19" t="s">
        <v>791</v>
      </c>
      <c r="J39" s="19" t="s">
        <v>496</v>
      </c>
      <c r="K39" s="19" t="s">
        <v>758</v>
      </c>
      <c r="L39" s="19" t="s">
        <v>174</v>
      </c>
      <c r="M39" s="19" t="s">
        <v>792</v>
      </c>
      <c r="N39" s="19" t="s">
        <v>793</v>
      </c>
      <c r="O39" s="19" t="s">
        <v>95</v>
      </c>
      <c r="P39" s="19" t="s">
        <v>794</v>
      </c>
    </row>
    <row r="40" customFormat="false" ht="46.25" hidden="false" customHeight="false" outlineLevel="0" collapsed="false">
      <c r="A40" s="18" t="s">
        <v>165</v>
      </c>
      <c r="B40" s="19" t="s">
        <v>754</v>
      </c>
      <c r="C40" s="18" t="s">
        <v>795</v>
      </c>
      <c r="D40" s="19" t="s">
        <v>429</v>
      </c>
      <c r="E40" s="19" t="s">
        <v>796</v>
      </c>
      <c r="F40" s="19" t="s">
        <v>797</v>
      </c>
      <c r="G40" s="19" t="s">
        <v>473</v>
      </c>
      <c r="H40" s="25" t="s">
        <v>460</v>
      </c>
      <c r="I40" s="19" t="s">
        <v>507</v>
      </c>
      <c r="J40" s="19" t="s">
        <v>496</v>
      </c>
      <c r="K40" s="19" t="s">
        <v>758</v>
      </c>
      <c r="L40" s="19" t="s">
        <v>798</v>
      </c>
      <c r="M40" s="19" t="s">
        <v>799</v>
      </c>
      <c r="N40" s="19" t="s">
        <v>800</v>
      </c>
      <c r="O40" s="19" t="s">
        <v>801</v>
      </c>
      <c r="P40" s="19" t="s">
        <v>802</v>
      </c>
    </row>
    <row r="41" customFormat="false" ht="35.05" hidden="false" customHeight="false" outlineLevel="0" collapsed="false">
      <c r="A41" s="18" t="s">
        <v>150</v>
      </c>
      <c r="B41" s="19" t="s">
        <v>803</v>
      </c>
      <c r="C41" s="18" t="s">
        <v>804</v>
      </c>
      <c r="D41" s="19" t="s">
        <v>805</v>
      </c>
      <c r="E41" s="19" t="s">
        <v>806</v>
      </c>
      <c r="F41" s="19" t="s">
        <v>807</v>
      </c>
      <c r="G41" s="19" t="s">
        <v>473</v>
      </c>
      <c r="H41" s="25" t="s">
        <v>460</v>
      </c>
      <c r="I41" s="19" t="s">
        <v>507</v>
      </c>
      <c r="J41" s="19" t="s">
        <v>462</v>
      </c>
      <c r="K41" s="19" t="s">
        <v>463</v>
      </c>
      <c r="L41" s="19" t="s">
        <v>808</v>
      </c>
      <c r="M41" s="19" t="s">
        <v>809</v>
      </c>
      <c r="N41" s="19" t="s">
        <v>810</v>
      </c>
      <c r="O41" s="19" t="s">
        <v>811</v>
      </c>
      <c r="P41" s="19" t="s">
        <v>812</v>
      </c>
    </row>
    <row r="42" customFormat="false" ht="23.85" hidden="false" customHeight="false" outlineLevel="0" collapsed="false">
      <c r="A42" s="18" t="s">
        <v>813</v>
      </c>
      <c r="B42" s="19" t="s">
        <v>803</v>
      </c>
      <c r="C42" s="18" t="s">
        <v>814</v>
      </c>
      <c r="D42" s="19" t="s">
        <v>815</v>
      </c>
      <c r="E42" s="19" t="s">
        <v>816</v>
      </c>
      <c r="F42" s="19" t="s">
        <v>817</v>
      </c>
      <c r="G42" s="19" t="s">
        <v>473</v>
      </c>
      <c r="H42" s="25" t="s">
        <v>460</v>
      </c>
      <c r="I42" s="19" t="s">
        <v>507</v>
      </c>
      <c r="J42" s="19" t="s">
        <v>496</v>
      </c>
      <c r="K42" s="19" t="s">
        <v>463</v>
      </c>
      <c r="L42" s="19" t="s">
        <v>150</v>
      </c>
      <c r="M42" s="19" t="s">
        <v>818</v>
      </c>
      <c r="N42" s="19" t="s">
        <v>819</v>
      </c>
      <c r="O42" s="19" t="s">
        <v>820</v>
      </c>
      <c r="P42" s="19" t="s">
        <v>821</v>
      </c>
    </row>
    <row r="43" customFormat="false" ht="23.85" hidden="false" customHeight="false" outlineLevel="0" collapsed="false">
      <c r="A43" s="18" t="s">
        <v>822</v>
      </c>
      <c r="B43" s="19" t="s">
        <v>803</v>
      </c>
      <c r="C43" s="18" t="s">
        <v>823</v>
      </c>
      <c r="D43" s="19" t="s">
        <v>470</v>
      </c>
      <c r="E43" s="19" t="s">
        <v>824</v>
      </c>
      <c r="F43" s="19" t="s">
        <v>825</v>
      </c>
      <c r="G43" s="19" t="s">
        <v>473</v>
      </c>
      <c r="H43" s="25" t="s">
        <v>460</v>
      </c>
      <c r="I43" s="19" t="s">
        <v>507</v>
      </c>
      <c r="J43" s="19" t="s">
        <v>496</v>
      </c>
      <c r="K43" s="19" t="s">
        <v>463</v>
      </c>
      <c r="L43" s="19" t="s">
        <v>150</v>
      </c>
      <c r="M43" s="19" t="s">
        <v>826</v>
      </c>
      <c r="N43" s="19" t="s">
        <v>95</v>
      </c>
      <c r="O43" s="19" t="s">
        <v>827</v>
      </c>
      <c r="P43" s="19" t="s">
        <v>828</v>
      </c>
    </row>
    <row r="44" customFormat="false" ht="23.85" hidden="false" customHeight="false" outlineLevel="0" collapsed="false">
      <c r="A44" s="18" t="s">
        <v>829</v>
      </c>
      <c r="B44" s="19" t="s">
        <v>803</v>
      </c>
      <c r="C44" s="18" t="s">
        <v>830</v>
      </c>
      <c r="D44" s="19" t="s">
        <v>351</v>
      </c>
      <c r="E44" s="19" t="s">
        <v>831</v>
      </c>
      <c r="F44" s="19" t="s">
        <v>832</v>
      </c>
      <c r="G44" s="19" t="s">
        <v>518</v>
      </c>
      <c r="H44" s="25" t="s">
        <v>460</v>
      </c>
      <c r="I44" s="19" t="s">
        <v>507</v>
      </c>
      <c r="J44" s="19" t="s">
        <v>496</v>
      </c>
      <c r="K44" s="19" t="s">
        <v>758</v>
      </c>
      <c r="L44" s="19" t="s">
        <v>150</v>
      </c>
      <c r="M44" s="19" t="s">
        <v>833</v>
      </c>
      <c r="N44" s="19" t="s">
        <v>834</v>
      </c>
      <c r="O44" s="19" t="s">
        <v>835</v>
      </c>
      <c r="P44" s="19" t="s">
        <v>836</v>
      </c>
    </row>
    <row r="45" customFormat="false" ht="57.45" hidden="false" customHeight="false" outlineLevel="0" collapsed="false">
      <c r="A45" s="18" t="s">
        <v>155</v>
      </c>
      <c r="B45" s="19" t="s">
        <v>803</v>
      </c>
      <c r="C45" s="18" t="s">
        <v>837</v>
      </c>
      <c r="D45" s="19" t="s">
        <v>151</v>
      </c>
      <c r="E45" s="19" t="s">
        <v>838</v>
      </c>
      <c r="F45" s="19" t="s">
        <v>839</v>
      </c>
      <c r="G45" s="19" t="s">
        <v>473</v>
      </c>
      <c r="H45" s="25" t="s">
        <v>460</v>
      </c>
      <c r="I45" s="19" t="s">
        <v>507</v>
      </c>
      <c r="J45" s="19" t="s">
        <v>496</v>
      </c>
      <c r="K45" s="19" t="s">
        <v>463</v>
      </c>
      <c r="L45" s="19" t="s">
        <v>840</v>
      </c>
      <c r="M45" s="19" t="s">
        <v>841</v>
      </c>
      <c r="N45" s="19" t="s">
        <v>842</v>
      </c>
      <c r="O45" s="19" t="s">
        <v>843</v>
      </c>
      <c r="P45" s="19" t="s">
        <v>844</v>
      </c>
    </row>
    <row r="46" customFormat="false" ht="23.85" hidden="false" customHeight="false" outlineLevel="0" collapsed="false">
      <c r="A46" s="18" t="s">
        <v>845</v>
      </c>
      <c r="B46" s="19" t="s">
        <v>846</v>
      </c>
      <c r="C46" s="18" t="s">
        <v>847</v>
      </c>
      <c r="D46" s="19" t="s">
        <v>848</v>
      </c>
      <c r="E46" s="19" t="s">
        <v>849</v>
      </c>
      <c r="F46" s="19" t="s">
        <v>850</v>
      </c>
      <c r="G46" s="19" t="s">
        <v>459</v>
      </c>
      <c r="H46" s="25" t="s">
        <v>460</v>
      </c>
      <c r="I46" s="19" t="s">
        <v>507</v>
      </c>
      <c r="J46" s="19" t="s">
        <v>496</v>
      </c>
      <c r="K46" s="19" t="s">
        <v>463</v>
      </c>
      <c r="L46" s="19" t="s">
        <v>116</v>
      </c>
      <c r="M46" s="19" t="s">
        <v>851</v>
      </c>
      <c r="N46" s="19" t="s">
        <v>852</v>
      </c>
      <c r="O46" s="19" t="s">
        <v>853</v>
      </c>
      <c r="P46" s="19" t="s">
        <v>854</v>
      </c>
    </row>
    <row r="47" customFormat="false" ht="23.85" hidden="false" customHeight="false" outlineLevel="0" collapsed="false">
      <c r="A47" s="18" t="s">
        <v>855</v>
      </c>
      <c r="B47" s="19" t="s">
        <v>846</v>
      </c>
      <c r="C47" s="18" t="s">
        <v>856</v>
      </c>
      <c r="D47" s="19" t="s">
        <v>857</v>
      </c>
      <c r="E47" s="19" t="s">
        <v>858</v>
      </c>
      <c r="F47" s="19" t="s">
        <v>859</v>
      </c>
      <c r="G47" s="19" t="s">
        <v>459</v>
      </c>
      <c r="H47" s="25" t="s">
        <v>460</v>
      </c>
      <c r="I47" s="19" t="s">
        <v>507</v>
      </c>
      <c r="J47" s="19" t="s">
        <v>496</v>
      </c>
      <c r="K47" s="19" t="s">
        <v>463</v>
      </c>
      <c r="L47" s="19" t="s">
        <v>703</v>
      </c>
      <c r="M47" s="19" t="s">
        <v>860</v>
      </c>
      <c r="N47" s="19" t="s">
        <v>852</v>
      </c>
      <c r="O47" s="19" t="s">
        <v>853</v>
      </c>
      <c r="P47" s="19" t="s">
        <v>861</v>
      </c>
    </row>
    <row r="48" customFormat="false" ht="23.85" hidden="false" customHeight="false" outlineLevel="0" collapsed="false">
      <c r="A48" s="18" t="s">
        <v>862</v>
      </c>
      <c r="B48" s="19" t="s">
        <v>846</v>
      </c>
      <c r="C48" s="18" t="s">
        <v>863</v>
      </c>
      <c r="D48" s="19" t="s">
        <v>864</v>
      </c>
      <c r="E48" s="19" t="s">
        <v>865</v>
      </c>
      <c r="F48" s="19" t="s">
        <v>866</v>
      </c>
      <c r="G48" s="19" t="s">
        <v>459</v>
      </c>
      <c r="H48" s="25" t="s">
        <v>460</v>
      </c>
      <c r="I48" s="19" t="s">
        <v>507</v>
      </c>
      <c r="J48" s="19" t="s">
        <v>496</v>
      </c>
      <c r="K48" s="19" t="s">
        <v>463</v>
      </c>
      <c r="L48" s="19" t="s">
        <v>713</v>
      </c>
      <c r="M48" s="19" t="s">
        <v>867</v>
      </c>
      <c r="N48" s="19" t="s">
        <v>852</v>
      </c>
      <c r="O48" s="19" t="s">
        <v>853</v>
      </c>
      <c r="P48" s="19" t="s">
        <v>868</v>
      </c>
    </row>
    <row r="49" customFormat="false" ht="23.85" hidden="false" customHeight="false" outlineLevel="0" collapsed="false">
      <c r="A49" s="18" t="s">
        <v>869</v>
      </c>
      <c r="B49" s="19" t="s">
        <v>846</v>
      </c>
      <c r="C49" s="18" t="s">
        <v>870</v>
      </c>
      <c r="D49" s="19" t="s">
        <v>351</v>
      </c>
      <c r="E49" s="19" t="s">
        <v>871</v>
      </c>
      <c r="F49" s="19" t="s">
        <v>872</v>
      </c>
      <c r="G49" s="19" t="s">
        <v>473</v>
      </c>
      <c r="H49" s="25" t="s">
        <v>460</v>
      </c>
      <c r="I49" s="19" t="s">
        <v>507</v>
      </c>
      <c r="J49" s="19" t="s">
        <v>496</v>
      </c>
      <c r="K49" s="19" t="s">
        <v>463</v>
      </c>
      <c r="L49" s="19" t="s">
        <v>150</v>
      </c>
      <c r="M49" s="19" t="s">
        <v>873</v>
      </c>
      <c r="N49" s="19" t="s">
        <v>852</v>
      </c>
      <c r="O49" s="19" t="s">
        <v>874</v>
      </c>
      <c r="P49" s="19" t="s">
        <v>875</v>
      </c>
    </row>
    <row r="50" customFormat="false" ht="23.85" hidden="false" customHeight="false" outlineLevel="0" collapsed="false">
      <c r="A50" s="18" t="s">
        <v>876</v>
      </c>
      <c r="B50" s="19" t="s">
        <v>846</v>
      </c>
      <c r="C50" s="18" t="s">
        <v>877</v>
      </c>
      <c r="D50" s="19" t="s">
        <v>23</v>
      </c>
      <c r="E50" s="19" t="s">
        <v>878</v>
      </c>
      <c r="F50" s="19" t="s">
        <v>879</v>
      </c>
      <c r="G50" s="19" t="s">
        <v>459</v>
      </c>
      <c r="H50" s="27" t="s">
        <v>506</v>
      </c>
      <c r="I50" s="19" t="s">
        <v>783</v>
      </c>
      <c r="J50" s="19" t="s">
        <v>496</v>
      </c>
      <c r="K50" s="19" t="s">
        <v>758</v>
      </c>
      <c r="L50" s="19" t="s">
        <v>845</v>
      </c>
      <c r="M50" s="19" t="s">
        <v>880</v>
      </c>
      <c r="N50" s="19" t="s">
        <v>881</v>
      </c>
      <c r="O50" s="19" t="s">
        <v>882</v>
      </c>
      <c r="P50" s="19" t="s">
        <v>883</v>
      </c>
    </row>
    <row r="51" customFormat="false" ht="23.85" hidden="false" customHeight="false" outlineLevel="0" collapsed="false">
      <c r="A51" s="18" t="s">
        <v>884</v>
      </c>
      <c r="B51" s="19" t="s">
        <v>885</v>
      </c>
      <c r="C51" s="18" t="s">
        <v>886</v>
      </c>
      <c r="D51" s="19" t="s">
        <v>887</v>
      </c>
      <c r="E51" s="19" t="s">
        <v>888</v>
      </c>
      <c r="F51" s="19" t="s">
        <v>889</v>
      </c>
      <c r="G51" s="19" t="s">
        <v>459</v>
      </c>
      <c r="H51" s="25" t="s">
        <v>460</v>
      </c>
      <c r="I51" s="19" t="s">
        <v>507</v>
      </c>
      <c r="J51" s="19" t="s">
        <v>496</v>
      </c>
      <c r="K51" s="19" t="s">
        <v>758</v>
      </c>
      <c r="L51" s="19" t="s">
        <v>890</v>
      </c>
      <c r="M51" s="19" t="s">
        <v>891</v>
      </c>
      <c r="N51" s="19" t="s">
        <v>892</v>
      </c>
      <c r="O51" s="19" t="s">
        <v>893</v>
      </c>
      <c r="P51" s="19" t="s">
        <v>894</v>
      </c>
    </row>
    <row r="52" customFormat="false" ht="23.85" hidden="false" customHeight="false" outlineLevel="0" collapsed="false">
      <c r="A52" s="18" t="s">
        <v>895</v>
      </c>
      <c r="B52" s="19" t="s">
        <v>885</v>
      </c>
      <c r="C52" s="18" t="s">
        <v>896</v>
      </c>
      <c r="D52" s="19" t="s">
        <v>897</v>
      </c>
      <c r="E52" s="19" t="s">
        <v>898</v>
      </c>
      <c r="F52" s="19" t="s">
        <v>899</v>
      </c>
      <c r="G52" s="19" t="s">
        <v>459</v>
      </c>
      <c r="H52" s="25" t="s">
        <v>460</v>
      </c>
      <c r="I52" s="19" t="s">
        <v>507</v>
      </c>
      <c r="J52" s="19" t="s">
        <v>496</v>
      </c>
      <c r="K52" s="19" t="s">
        <v>758</v>
      </c>
      <c r="L52" s="19" t="s">
        <v>579</v>
      </c>
      <c r="M52" s="19" t="s">
        <v>900</v>
      </c>
      <c r="N52" s="19" t="s">
        <v>901</v>
      </c>
      <c r="O52" s="19" t="s">
        <v>902</v>
      </c>
      <c r="P52" s="19" t="s">
        <v>903</v>
      </c>
    </row>
    <row r="53" customFormat="false" ht="23.85" hidden="false" customHeight="false" outlineLevel="0" collapsed="false">
      <c r="A53" s="18" t="s">
        <v>904</v>
      </c>
      <c r="B53" s="19" t="s">
        <v>885</v>
      </c>
      <c r="C53" s="18" t="s">
        <v>905</v>
      </c>
      <c r="D53" s="19" t="s">
        <v>906</v>
      </c>
      <c r="E53" s="19" t="s">
        <v>907</v>
      </c>
      <c r="F53" s="19" t="s">
        <v>908</v>
      </c>
      <c r="G53" s="19" t="s">
        <v>518</v>
      </c>
      <c r="H53" s="25" t="s">
        <v>460</v>
      </c>
      <c r="I53" s="19" t="s">
        <v>507</v>
      </c>
      <c r="J53" s="19" t="s">
        <v>496</v>
      </c>
      <c r="K53" s="19" t="s">
        <v>758</v>
      </c>
      <c r="L53" s="19" t="s">
        <v>884</v>
      </c>
      <c r="M53" s="19" t="s">
        <v>909</v>
      </c>
      <c r="N53" s="19" t="s">
        <v>910</v>
      </c>
      <c r="O53" s="19" t="s">
        <v>95</v>
      </c>
      <c r="P53" s="19" t="s">
        <v>911</v>
      </c>
    </row>
    <row r="54" customFormat="false" ht="23.85" hidden="false" customHeight="false" outlineLevel="0" collapsed="false">
      <c r="A54" s="18" t="s">
        <v>912</v>
      </c>
      <c r="B54" s="19" t="s">
        <v>913</v>
      </c>
      <c r="C54" s="18" t="s">
        <v>914</v>
      </c>
      <c r="D54" s="19" t="s">
        <v>906</v>
      </c>
      <c r="E54" s="19" t="s">
        <v>915</v>
      </c>
      <c r="F54" s="19" t="s">
        <v>916</v>
      </c>
      <c r="G54" s="19" t="s">
        <v>518</v>
      </c>
      <c r="H54" s="25" t="s">
        <v>460</v>
      </c>
      <c r="I54" s="19" t="s">
        <v>461</v>
      </c>
      <c r="J54" s="19" t="s">
        <v>496</v>
      </c>
      <c r="K54" s="19" t="s">
        <v>758</v>
      </c>
      <c r="L54" s="19" t="s">
        <v>917</v>
      </c>
      <c r="M54" s="19" t="s">
        <v>918</v>
      </c>
      <c r="N54" s="19" t="s">
        <v>919</v>
      </c>
      <c r="O54" s="19" t="s">
        <v>95</v>
      </c>
      <c r="P54" s="19" t="s">
        <v>920</v>
      </c>
    </row>
    <row r="55" customFormat="false" ht="23.85" hidden="false" customHeight="false" outlineLevel="0" collapsed="false">
      <c r="A55" s="18" t="s">
        <v>921</v>
      </c>
      <c r="B55" s="19" t="s">
        <v>913</v>
      </c>
      <c r="C55" s="18" t="s">
        <v>922</v>
      </c>
      <c r="D55" s="19" t="s">
        <v>906</v>
      </c>
      <c r="E55" s="19" t="s">
        <v>923</v>
      </c>
      <c r="F55" s="19" t="s">
        <v>924</v>
      </c>
      <c r="G55" s="19" t="s">
        <v>518</v>
      </c>
      <c r="H55" s="25" t="s">
        <v>460</v>
      </c>
      <c r="I55" s="19" t="s">
        <v>461</v>
      </c>
      <c r="J55" s="19" t="s">
        <v>496</v>
      </c>
      <c r="K55" s="19" t="s">
        <v>758</v>
      </c>
      <c r="L55" s="19" t="s">
        <v>912</v>
      </c>
      <c r="M55" s="19" t="s">
        <v>925</v>
      </c>
      <c r="N55" s="19" t="s">
        <v>926</v>
      </c>
      <c r="O55" s="19" t="s">
        <v>95</v>
      </c>
      <c r="P55" s="19" t="s">
        <v>927</v>
      </c>
    </row>
    <row r="56" customFormat="false" ht="23.85" hidden="false" customHeight="false" outlineLevel="0" collapsed="false">
      <c r="A56" s="18" t="s">
        <v>928</v>
      </c>
      <c r="B56" s="19" t="s">
        <v>913</v>
      </c>
      <c r="C56" s="18" t="s">
        <v>929</v>
      </c>
      <c r="D56" s="19" t="s">
        <v>906</v>
      </c>
      <c r="E56" s="19" t="s">
        <v>930</v>
      </c>
      <c r="F56" s="19" t="s">
        <v>931</v>
      </c>
      <c r="G56" s="19" t="s">
        <v>518</v>
      </c>
      <c r="H56" s="25" t="s">
        <v>460</v>
      </c>
      <c r="I56" s="19" t="s">
        <v>461</v>
      </c>
      <c r="J56" s="19" t="s">
        <v>484</v>
      </c>
      <c r="K56" s="19" t="s">
        <v>758</v>
      </c>
      <c r="L56" s="19" t="s">
        <v>912</v>
      </c>
      <c r="M56" s="19" t="s">
        <v>932</v>
      </c>
      <c r="N56" s="19" t="s">
        <v>933</v>
      </c>
      <c r="O56" s="19" t="s">
        <v>95</v>
      </c>
      <c r="P56" s="19" t="s">
        <v>934</v>
      </c>
    </row>
    <row r="57" customFormat="false" ht="23.85" hidden="false" customHeight="false" outlineLevel="0" collapsed="false">
      <c r="A57" s="18" t="s">
        <v>935</v>
      </c>
      <c r="B57" s="19" t="s">
        <v>913</v>
      </c>
      <c r="C57" s="18" t="s">
        <v>936</v>
      </c>
      <c r="D57" s="19" t="s">
        <v>906</v>
      </c>
      <c r="E57" s="19" t="s">
        <v>937</v>
      </c>
      <c r="F57" s="19" t="s">
        <v>938</v>
      </c>
      <c r="G57" s="19" t="s">
        <v>518</v>
      </c>
      <c r="H57" s="25" t="s">
        <v>460</v>
      </c>
      <c r="I57" s="19" t="s">
        <v>783</v>
      </c>
      <c r="J57" s="19" t="s">
        <v>462</v>
      </c>
      <c r="K57" s="19" t="s">
        <v>758</v>
      </c>
      <c r="L57" s="19" t="s">
        <v>939</v>
      </c>
      <c r="M57" s="19" t="s">
        <v>940</v>
      </c>
      <c r="N57" s="19" t="s">
        <v>941</v>
      </c>
      <c r="O57" s="19" t="s">
        <v>95</v>
      </c>
      <c r="P57" s="19" t="s">
        <v>942</v>
      </c>
    </row>
    <row r="58" customFormat="false" ht="23.85" hidden="false" customHeight="false" outlineLevel="0" collapsed="false">
      <c r="A58" s="18" t="s">
        <v>943</v>
      </c>
      <c r="B58" s="19" t="s">
        <v>913</v>
      </c>
      <c r="C58" s="18" t="s">
        <v>944</v>
      </c>
      <c r="D58" s="19" t="s">
        <v>906</v>
      </c>
      <c r="E58" s="19" t="s">
        <v>945</v>
      </c>
      <c r="F58" s="19" t="s">
        <v>946</v>
      </c>
      <c r="G58" s="19" t="s">
        <v>518</v>
      </c>
      <c r="H58" s="25" t="s">
        <v>460</v>
      </c>
      <c r="I58" s="19" t="s">
        <v>507</v>
      </c>
      <c r="J58" s="19" t="s">
        <v>484</v>
      </c>
      <c r="K58" s="19" t="s">
        <v>758</v>
      </c>
      <c r="L58" s="19" t="s">
        <v>681</v>
      </c>
      <c r="M58" s="19" t="s">
        <v>947</v>
      </c>
      <c r="N58" s="19" t="s">
        <v>948</v>
      </c>
      <c r="O58" s="19" t="s">
        <v>95</v>
      </c>
      <c r="P58" s="19" t="s">
        <v>949</v>
      </c>
    </row>
    <row r="59" customFormat="false" ht="23.85" hidden="false" customHeight="false" outlineLevel="0" collapsed="false">
      <c r="A59" s="18" t="s">
        <v>950</v>
      </c>
      <c r="B59" s="19" t="s">
        <v>913</v>
      </c>
      <c r="C59" s="18" t="s">
        <v>951</v>
      </c>
      <c r="D59" s="19" t="s">
        <v>906</v>
      </c>
      <c r="E59" s="19" t="s">
        <v>952</v>
      </c>
      <c r="F59" s="19" t="s">
        <v>953</v>
      </c>
      <c r="G59" s="19" t="s">
        <v>518</v>
      </c>
      <c r="H59" s="25" t="s">
        <v>460</v>
      </c>
      <c r="I59" s="19" t="s">
        <v>783</v>
      </c>
      <c r="J59" s="19" t="s">
        <v>496</v>
      </c>
      <c r="K59" s="19" t="s">
        <v>463</v>
      </c>
      <c r="L59" s="19" t="s">
        <v>954</v>
      </c>
      <c r="M59" s="19" t="s">
        <v>955</v>
      </c>
      <c r="N59" s="19" t="s">
        <v>956</v>
      </c>
      <c r="O59" s="19" t="s">
        <v>957</v>
      </c>
      <c r="P59" s="19" t="s">
        <v>958</v>
      </c>
    </row>
    <row r="60" customFormat="false" ht="23.85" hidden="false" customHeight="false" outlineLevel="0" collapsed="false">
      <c r="A60" s="18" t="s">
        <v>939</v>
      </c>
      <c r="B60" s="19" t="s">
        <v>959</v>
      </c>
      <c r="C60" s="18" t="s">
        <v>960</v>
      </c>
      <c r="D60" s="19" t="s">
        <v>470</v>
      </c>
      <c r="E60" s="19" t="s">
        <v>961</v>
      </c>
      <c r="F60" s="19" t="s">
        <v>962</v>
      </c>
      <c r="G60" s="19" t="s">
        <v>518</v>
      </c>
      <c r="H60" s="25" t="s">
        <v>460</v>
      </c>
      <c r="I60" s="19" t="s">
        <v>963</v>
      </c>
      <c r="J60" s="19" t="s">
        <v>462</v>
      </c>
      <c r="K60" s="19" t="s">
        <v>758</v>
      </c>
      <c r="L60" s="19" t="s">
        <v>95</v>
      </c>
      <c r="M60" s="19" t="s">
        <v>964</v>
      </c>
      <c r="N60" s="19" t="s">
        <v>95</v>
      </c>
      <c r="O60" s="19" t="s">
        <v>965</v>
      </c>
      <c r="P60" s="19" t="s">
        <v>966</v>
      </c>
    </row>
    <row r="61" customFormat="false" ht="35.05" hidden="false" customHeight="false" outlineLevel="0" collapsed="false">
      <c r="A61" s="18" t="s">
        <v>967</v>
      </c>
      <c r="B61" s="19" t="s">
        <v>959</v>
      </c>
      <c r="C61" s="18" t="s">
        <v>968</v>
      </c>
      <c r="D61" s="19" t="s">
        <v>470</v>
      </c>
      <c r="E61" s="19" t="s">
        <v>969</v>
      </c>
      <c r="F61" s="19" t="s">
        <v>970</v>
      </c>
      <c r="G61" s="19" t="s">
        <v>518</v>
      </c>
      <c r="H61" s="25" t="s">
        <v>460</v>
      </c>
      <c r="I61" s="19" t="s">
        <v>963</v>
      </c>
      <c r="J61" s="19" t="s">
        <v>496</v>
      </c>
      <c r="K61" s="19" t="s">
        <v>463</v>
      </c>
      <c r="L61" s="19" t="s">
        <v>939</v>
      </c>
      <c r="M61" s="19" t="s">
        <v>971</v>
      </c>
      <c r="N61" s="19" t="s">
        <v>95</v>
      </c>
      <c r="O61" s="19" t="s">
        <v>95</v>
      </c>
      <c r="P61" s="19" t="s">
        <v>972</v>
      </c>
    </row>
    <row r="62" customFormat="false" ht="23.85" hidden="false" customHeight="false" outlineLevel="0" collapsed="false">
      <c r="A62" s="18" t="s">
        <v>973</v>
      </c>
      <c r="B62" s="19" t="s">
        <v>959</v>
      </c>
      <c r="C62" s="18" t="s">
        <v>974</v>
      </c>
      <c r="D62" s="19" t="s">
        <v>975</v>
      </c>
      <c r="E62" s="19" t="s">
        <v>976</v>
      </c>
      <c r="F62" s="19" t="s">
        <v>977</v>
      </c>
      <c r="G62" s="19" t="s">
        <v>518</v>
      </c>
      <c r="H62" s="25" t="s">
        <v>460</v>
      </c>
      <c r="I62" s="19" t="s">
        <v>519</v>
      </c>
      <c r="J62" s="19" t="s">
        <v>462</v>
      </c>
      <c r="K62" s="19" t="s">
        <v>758</v>
      </c>
      <c r="L62" s="19" t="s">
        <v>939</v>
      </c>
      <c r="M62" s="19" t="s">
        <v>978</v>
      </c>
      <c r="N62" s="19" t="s">
        <v>979</v>
      </c>
      <c r="O62" s="19" t="s">
        <v>95</v>
      </c>
      <c r="P62" s="19" t="s">
        <v>980</v>
      </c>
    </row>
    <row r="63" customFormat="false" ht="23.85" hidden="false" customHeight="false" outlineLevel="0" collapsed="false">
      <c r="A63" s="18" t="s">
        <v>981</v>
      </c>
      <c r="B63" s="19" t="s">
        <v>959</v>
      </c>
      <c r="C63" s="18" t="s">
        <v>982</v>
      </c>
      <c r="D63" s="19" t="s">
        <v>975</v>
      </c>
      <c r="E63" s="19" t="s">
        <v>983</v>
      </c>
      <c r="F63" s="19" t="s">
        <v>984</v>
      </c>
      <c r="G63" s="19" t="s">
        <v>518</v>
      </c>
      <c r="H63" s="25" t="s">
        <v>460</v>
      </c>
      <c r="I63" s="19" t="s">
        <v>507</v>
      </c>
      <c r="J63" s="19" t="s">
        <v>462</v>
      </c>
      <c r="K63" s="19" t="s">
        <v>758</v>
      </c>
      <c r="L63" s="19" t="s">
        <v>967</v>
      </c>
      <c r="M63" s="19" t="s">
        <v>985</v>
      </c>
      <c r="N63" s="19" t="s">
        <v>986</v>
      </c>
      <c r="O63" s="19" t="s">
        <v>95</v>
      </c>
      <c r="P63" s="19" t="s">
        <v>987</v>
      </c>
    </row>
    <row r="64" customFormat="false" ht="35.05" hidden="false" customHeight="false" outlineLevel="0" collapsed="false">
      <c r="A64" s="18" t="s">
        <v>988</v>
      </c>
      <c r="B64" s="19" t="s">
        <v>959</v>
      </c>
      <c r="C64" s="18" t="s">
        <v>989</v>
      </c>
      <c r="D64" s="19" t="s">
        <v>975</v>
      </c>
      <c r="E64" s="19" t="s">
        <v>990</v>
      </c>
      <c r="F64" s="19" t="s">
        <v>991</v>
      </c>
      <c r="G64" s="19" t="s">
        <v>518</v>
      </c>
      <c r="H64" s="25" t="s">
        <v>460</v>
      </c>
      <c r="I64" s="19" t="s">
        <v>519</v>
      </c>
      <c r="J64" s="19" t="s">
        <v>496</v>
      </c>
      <c r="K64" s="19" t="s">
        <v>758</v>
      </c>
      <c r="L64" s="19" t="s">
        <v>116</v>
      </c>
      <c r="M64" s="19" t="s">
        <v>992</v>
      </c>
      <c r="N64" s="19" t="s">
        <v>95</v>
      </c>
      <c r="O64" s="19" t="s">
        <v>993</v>
      </c>
      <c r="P64" s="19" t="s">
        <v>994</v>
      </c>
    </row>
    <row r="65" customFormat="false" ht="23.85" hidden="false" customHeight="false" outlineLevel="0" collapsed="false">
      <c r="A65" s="18" t="s">
        <v>995</v>
      </c>
      <c r="B65" s="19" t="s">
        <v>959</v>
      </c>
      <c r="C65" s="18" t="s">
        <v>996</v>
      </c>
      <c r="D65" s="19" t="s">
        <v>470</v>
      </c>
      <c r="E65" s="19" t="s">
        <v>997</v>
      </c>
      <c r="F65" s="19" t="s">
        <v>998</v>
      </c>
      <c r="G65" s="19" t="s">
        <v>518</v>
      </c>
      <c r="H65" s="25" t="s">
        <v>460</v>
      </c>
      <c r="I65" s="19" t="s">
        <v>461</v>
      </c>
      <c r="J65" s="19" t="s">
        <v>496</v>
      </c>
      <c r="K65" s="19" t="s">
        <v>758</v>
      </c>
      <c r="L65" s="19" t="s">
        <v>999</v>
      </c>
      <c r="M65" s="19" t="s">
        <v>1000</v>
      </c>
      <c r="N65" s="19" t="s">
        <v>95</v>
      </c>
      <c r="O65" s="19" t="s">
        <v>1001</v>
      </c>
      <c r="P65" s="19" t="s">
        <v>1002</v>
      </c>
    </row>
    <row r="66" customFormat="false" ht="23.85" hidden="false" customHeight="false" outlineLevel="0" collapsed="false">
      <c r="A66" s="18" t="s">
        <v>1003</v>
      </c>
      <c r="B66" s="19" t="s">
        <v>1004</v>
      </c>
      <c r="C66" s="18" t="s">
        <v>1005</v>
      </c>
      <c r="D66" s="19" t="s">
        <v>1006</v>
      </c>
      <c r="E66" s="19" t="s">
        <v>1007</v>
      </c>
      <c r="F66" s="19" t="s">
        <v>1008</v>
      </c>
      <c r="G66" s="19" t="s">
        <v>518</v>
      </c>
      <c r="H66" s="25" t="s">
        <v>460</v>
      </c>
      <c r="I66" s="19" t="s">
        <v>461</v>
      </c>
      <c r="J66" s="19" t="s">
        <v>496</v>
      </c>
      <c r="K66" s="19" t="s">
        <v>485</v>
      </c>
      <c r="L66" s="19" t="s">
        <v>1009</v>
      </c>
      <c r="M66" s="19" t="s">
        <v>1010</v>
      </c>
      <c r="N66" s="19" t="s">
        <v>1011</v>
      </c>
      <c r="O66" s="19" t="s">
        <v>1012</v>
      </c>
      <c r="P66" s="19" t="s">
        <v>1013</v>
      </c>
    </row>
    <row r="67" customFormat="false" ht="15" hidden="false" customHeight="false" outlineLevel="0" collapsed="false">
      <c r="A67" s="18" t="s">
        <v>1014</v>
      </c>
      <c r="B67" s="19" t="s">
        <v>1004</v>
      </c>
      <c r="C67" s="18" t="s">
        <v>1015</v>
      </c>
      <c r="D67" s="19" t="s">
        <v>1016</v>
      </c>
      <c r="E67" s="19" t="s">
        <v>1017</v>
      </c>
      <c r="F67" s="19" t="s">
        <v>1018</v>
      </c>
      <c r="G67" s="19" t="s">
        <v>518</v>
      </c>
      <c r="H67" s="25" t="s">
        <v>460</v>
      </c>
      <c r="I67" s="19" t="s">
        <v>783</v>
      </c>
      <c r="J67" s="19" t="s">
        <v>496</v>
      </c>
      <c r="K67" s="19" t="s">
        <v>485</v>
      </c>
      <c r="L67" s="19" t="s">
        <v>1009</v>
      </c>
      <c r="M67" s="19" t="s">
        <v>1019</v>
      </c>
      <c r="N67" s="19" t="s">
        <v>1020</v>
      </c>
      <c r="O67" s="19" t="s">
        <v>1021</v>
      </c>
      <c r="P67" s="19" t="s">
        <v>1022</v>
      </c>
    </row>
    <row r="68" customFormat="false" ht="23.85" hidden="false" customHeight="false" outlineLevel="0" collapsed="false">
      <c r="A68" s="18" t="s">
        <v>1023</v>
      </c>
      <c r="B68" s="19" t="s">
        <v>1004</v>
      </c>
      <c r="C68" s="18" t="s">
        <v>1024</v>
      </c>
      <c r="D68" s="19" t="s">
        <v>470</v>
      </c>
      <c r="E68" s="19" t="s">
        <v>1025</v>
      </c>
      <c r="F68" s="19" t="s">
        <v>1026</v>
      </c>
      <c r="G68" s="19" t="s">
        <v>518</v>
      </c>
      <c r="H68" s="25" t="s">
        <v>460</v>
      </c>
      <c r="I68" s="19" t="s">
        <v>783</v>
      </c>
      <c r="J68" s="19" t="s">
        <v>496</v>
      </c>
      <c r="K68" s="19" t="s">
        <v>463</v>
      </c>
      <c r="L68" s="19" t="s">
        <v>524</v>
      </c>
      <c r="M68" s="19" t="s">
        <v>1027</v>
      </c>
      <c r="N68" s="19" t="s">
        <v>95</v>
      </c>
      <c r="O68" s="19" t="s">
        <v>95</v>
      </c>
      <c r="P68" s="19" t="s">
        <v>1028</v>
      </c>
    </row>
    <row r="69" customFormat="false" ht="23.85" hidden="false" customHeight="false" outlineLevel="0" collapsed="false">
      <c r="A69" s="18" t="s">
        <v>1029</v>
      </c>
      <c r="B69" s="19" t="s">
        <v>1004</v>
      </c>
      <c r="C69" s="18" t="s">
        <v>1030</v>
      </c>
      <c r="D69" s="19" t="s">
        <v>1031</v>
      </c>
      <c r="E69" s="19" t="s">
        <v>1032</v>
      </c>
      <c r="F69" s="19" t="s">
        <v>1033</v>
      </c>
      <c r="G69" s="19" t="s">
        <v>518</v>
      </c>
      <c r="H69" s="25" t="s">
        <v>460</v>
      </c>
      <c r="I69" s="19" t="s">
        <v>783</v>
      </c>
      <c r="J69" s="19" t="s">
        <v>484</v>
      </c>
      <c r="K69" s="19" t="s">
        <v>1034</v>
      </c>
      <c r="L69" s="19" t="s">
        <v>1014</v>
      </c>
      <c r="M69" s="19" t="s">
        <v>1035</v>
      </c>
      <c r="N69" s="19" t="s">
        <v>95</v>
      </c>
      <c r="O69" s="19" t="s">
        <v>95</v>
      </c>
      <c r="P69" s="19" t="s">
        <v>1036</v>
      </c>
    </row>
    <row r="70" customFormat="false" ht="35.05" hidden="false" customHeight="false" outlineLevel="0" collapsed="false">
      <c r="A70" s="18" t="s">
        <v>1037</v>
      </c>
      <c r="B70" s="19" t="s">
        <v>1004</v>
      </c>
      <c r="C70" s="18" t="s">
        <v>1038</v>
      </c>
      <c r="D70" s="19" t="s">
        <v>470</v>
      </c>
      <c r="E70" s="19" t="s">
        <v>1039</v>
      </c>
      <c r="F70" s="19" t="s">
        <v>1040</v>
      </c>
      <c r="G70" s="19" t="s">
        <v>518</v>
      </c>
      <c r="H70" s="25" t="s">
        <v>460</v>
      </c>
      <c r="I70" s="19" t="s">
        <v>519</v>
      </c>
      <c r="J70" s="19" t="s">
        <v>496</v>
      </c>
      <c r="K70" s="19" t="s">
        <v>463</v>
      </c>
      <c r="L70" s="19" t="s">
        <v>596</v>
      </c>
      <c r="M70" s="19" t="s">
        <v>1041</v>
      </c>
      <c r="N70" s="19" t="s">
        <v>95</v>
      </c>
      <c r="O70" s="19" t="s">
        <v>95</v>
      </c>
      <c r="P70" s="19" t="s">
        <v>1042</v>
      </c>
    </row>
    <row r="71" customFormat="false" ht="23.85" hidden="false" customHeight="false" outlineLevel="0" collapsed="false">
      <c r="A71" s="18" t="s">
        <v>1043</v>
      </c>
      <c r="B71" s="19" t="s">
        <v>1044</v>
      </c>
      <c r="C71" s="18" t="s">
        <v>1045</v>
      </c>
      <c r="D71" s="19" t="s">
        <v>470</v>
      </c>
      <c r="E71" s="19" t="s">
        <v>1046</v>
      </c>
      <c r="F71" s="19" t="s">
        <v>1047</v>
      </c>
      <c r="G71" s="19" t="s">
        <v>518</v>
      </c>
      <c r="H71" s="25" t="s">
        <v>460</v>
      </c>
      <c r="I71" s="19" t="s">
        <v>783</v>
      </c>
      <c r="J71" s="19" t="s">
        <v>462</v>
      </c>
      <c r="K71" s="19" t="s">
        <v>463</v>
      </c>
      <c r="L71" s="19" t="s">
        <v>677</v>
      </c>
      <c r="M71" s="19" t="s">
        <v>1048</v>
      </c>
      <c r="N71" s="19" t="s">
        <v>1049</v>
      </c>
      <c r="O71" s="19" t="s">
        <v>701</v>
      </c>
      <c r="P71" s="19" t="s">
        <v>1050</v>
      </c>
    </row>
    <row r="72" customFormat="false" ht="23.85" hidden="false" customHeight="false" outlineLevel="0" collapsed="false">
      <c r="A72" s="18" t="s">
        <v>1051</v>
      </c>
      <c r="B72" s="19" t="s">
        <v>1044</v>
      </c>
      <c r="C72" s="18" t="s">
        <v>1052</v>
      </c>
      <c r="D72" s="19" t="s">
        <v>470</v>
      </c>
      <c r="E72" s="19" t="s">
        <v>1053</v>
      </c>
      <c r="F72" s="19" t="s">
        <v>1054</v>
      </c>
      <c r="G72" s="19" t="s">
        <v>518</v>
      </c>
      <c r="H72" s="25" t="s">
        <v>460</v>
      </c>
      <c r="I72" s="19" t="s">
        <v>783</v>
      </c>
      <c r="J72" s="19" t="s">
        <v>462</v>
      </c>
      <c r="K72" s="19" t="s">
        <v>463</v>
      </c>
      <c r="L72" s="19" t="s">
        <v>779</v>
      </c>
      <c r="M72" s="19" t="s">
        <v>1055</v>
      </c>
      <c r="N72" s="19" t="s">
        <v>1056</v>
      </c>
      <c r="O72" s="19" t="s">
        <v>1057</v>
      </c>
      <c r="P72" s="19" t="s">
        <v>1058</v>
      </c>
    </row>
    <row r="73" customFormat="false" ht="23.85" hidden="false" customHeight="false" outlineLevel="0" collapsed="false">
      <c r="A73" s="18" t="s">
        <v>1059</v>
      </c>
      <c r="B73" s="19" t="s">
        <v>1044</v>
      </c>
      <c r="C73" s="18" t="s">
        <v>1060</v>
      </c>
      <c r="D73" s="19" t="s">
        <v>470</v>
      </c>
      <c r="E73" s="19" t="s">
        <v>1061</v>
      </c>
      <c r="F73" s="19" t="s">
        <v>1062</v>
      </c>
      <c r="G73" s="19" t="s">
        <v>518</v>
      </c>
      <c r="H73" s="25" t="s">
        <v>460</v>
      </c>
      <c r="I73" s="19" t="s">
        <v>963</v>
      </c>
      <c r="J73" s="19" t="s">
        <v>484</v>
      </c>
      <c r="K73" s="19" t="s">
        <v>463</v>
      </c>
      <c r="L73" s="19" t="s">
        <v>95</v>
      </c>
      <c r="M73" s="19" t="s">
        <v>1063</v>
      </c>
      <c r="N73" s="19" t="s">
        <v>95</v>
      </c>
      <c r="O73" s="19" t="s">
        <v>95</v>
      </c>
      <c r="P73" s="19" t="s">
        <v>1064</v>
      </c>
    </row>
    <row r="74" customFormat="false" ht="23.85" hidden="false" customHeight="false" outlineLevel="0" collapsed="false">
      <c r="A74" s="18" t="s">
        <v>1065</v>
      </c>
      <c r="B74" s="19" t="s">
        <v>1044</v>
      </c>
      <c r="C74" s="18" t="s">
        <v>1066</v>
      </c>
      <c r="D74" s="19" t="s">
        <v>1067</v>
      </c>
      <c r="E74" s="19" t="s">
        <v>1068</v>
      </c>
      <c r="F74" s="19" t="s">
        <v>1069</v>
      </c>
      <c r="G74" s="19" t="s">
        <v>518</v>
      </c>
      <c r="H74" s="25" t="s">
        <v>460</v>
      </c>
      <c r="I74" s="19" t="s">
        <v>519</v>
      </c>
      <c r="J74" s="19" t="s">
        <v>1070</v>
      </c>
      <c r="K74" s="19" t="s">
        <v>758</v>
      </c>
      <c r="L74" s="19" t="s">
        <v>1071</v>
      </c>
      <c r="M74" s="19" t="s">
        <v>1072</v>
      </c>
      <c r="N74" s="19" t="s">
        <v>965</v>
      </c>
      <c r="O74" s="19" t="s">
        <v>95</v>
      </c>
      <c r="P74" s="19" t="s">
        <v>1073</v>
      </c>
    </row>
    <row r="75" customFormat="false" ht="23.85" hidden="false" customHeight="false" outlineLevel="0" collapsed="false">
      <c r="A75" s="18" t="s">
        <v>1074</v>
      </c>
      <c r="B75" s="19" t="s">
        <v>1075</v>
      </c>
      <c r="C75" s="18" t="s">
        <v>1076</v>
      </c>
      <c r="D75" s="19" t="s">
        <v>470</v>
      </c>
      <c r="E75" s="19" t="s">
        <v>1077</v>
      </c>
      <c r="F75" s="19" t="s">
        <v>1078</v>
      </c>
      <c r="G75" s="19" t="s">
        <v>518</v>
      </c>
      <c r="H75" s="25" t="s">
        <v>460</v>
      </c>
      <c r="I75" s="19" t="s">
        <v>963</v>
      </c>
      <c r="J75" s="19" t="s">
        <v>496</v>
      </c>
      <c r="K75" s="19" t="s">
        <v>463</v>
      </c>
      <c r="L75" s="19" t="s">
        <v>95</v>
      </c>
      <c r="M75" s="19" t="s">
        <v>1079</v>
      </c>
      <c r="N75" s="19" t="s">
        <v>95</v>
      </c>
      <c r="O75" s="19" t="s">
        <v>95</v>
      </c>
      <c r="P75" s="19" t="s">
        <v>1080</v>
      </c>
    </row>
    <row r="76" customFormat="false" ht="23.85" hidden="false" customHeight="false" outlineLevel="0" collapsed="false">
      <c r="A76" s="18" t="s">
        <v>954</v>
      </c>
      <c r="B76" s="19" t="s">
        <v>1075</v>
      </c>
      <c r="C76" s="18" t="s">
        <v>1081</v>
      </c>
      <c r="D76" s="19" t="s">
        <v>470</v>
      </c>
      <c r="E76" s="19" t="s">
        <v>1082</v>
      </c>
      <c r="F76" s="19" t="s">
        <v>1083</v>
      </c>
      <c r="G76" s="19" t="s">
        <v>518</v>
      </c>
      <c r="H76" s="25" t="s">
        <v>460</v>
      </c>
      <c r="I76" s="19" t="s">
        <v>519</v>
      </c>
      <c r="J76" s="19" t="s">
        <v>496</v>
      </c>
      <c r="K76" s="19" t="s">
        <v>463</v>
      </c>
      <c r="L76" s="19" t="s">
        <v>95</v>
      </c>
      <c r="M76" s="19" t="s">
        <v>1084</v>
      </c>
      <c r="N76" s="19" t="s">
        <v>95</v>
      </c>
      <c r="O76" s="19" t="s">
        <v>957</v>
      </c>
      <c r="P76" s="19" t="s">
        <v>1085</v>
      </c>
    </row>
    <row r="77" customFormat="false" ht="23.85" hidden="false" customHeight="false" outlineLevel="0" collapsed="false">
      <c r="A77" s="18" t="s">
        <v>1086</v>
      </c>
      <c r="B77" s="19" t="s">
        <v>1075</v>
      </c>
      <c r="C77" s="18" t="s">
        <v>1087</v>
      </c>
      <c r="D77" s="19" t="s">
        <v>1088</v>
      </c>
      <c r="E77" s="19" t="s">
        <v>1089</v>
      </c>
      <c r="F77" s="19" t="s">
        <v>1090</v>
      </c>
      <c r="G77" s="19" t="s">
        <v>518</v>
      </c>
      <c r="H77" s="25" t="s">
        <v>460</v>
      </c>
      <c r="I77" s="19" t="s">
        <v>783</v>
      </c>
      <c r="J77" s="19" t="s">
        <v>496</v>
      </c>
      <c r="K77" s="19" t="s">
        <v>485</v>
      </c>
      <c r="L77" s="19" t="s">
        <v>1014</v>
      </c>
      <c r="M77" s="19" t="s">
        <v>1091</v>
      </c>
      <c r="N77" s="19" t="s">
        <v>95</v>
      </c>
      <c r="O77" s="19" t="s">
        <v>95</v>
      </c>
      <c r="P77" s="19" t="s">
        <v>1092</v>
      </c>
    </row>
    <row r="78" customFormat="false" ht="23.85" hidden="false" customHeight="false" outlineLevel="0" collapsed="false">
      <c r="A78" s="18" t="s">
        <v>1093</v>
      </c>
      <c r="B78" s="19" t="s">
        <v>1075</v>
      </c>
      <c r="C78" s="18" t="s">
        <v>1094</v>
      </c>
      <c r="D78" s="19" t="s">
        <v>470</v>
      </c>
      <c r="E78" s="19" t="s">
        <v>1095</v>
      </c>
      <c r="F78" s="19" t="s">
        <v>1096</v>
      </c>
      <c r="G78" s="19" t="s">
        <v>459</v>
      </c>
      <c r="H78" s="25" t="s">
        <v>460</v>
      </c>
      <c r="I78" s="19" t="s">
        <v>783</v>
      </c>
      <c r="J78" s="19" t="s">
        <v>462</v>
      </c>
      <c r="K78" s="19" t="s">
        <v>485</v>
      </c>
      <c r="L78" s="19" t="s">
        <v>1071</v>
      </c>
      <c r="M78" s="19" t="s">
        <v>1097</v>
      </c>
      <c r="N78" s="19" t="s">
        <v>95</v>
      </c>
      <c r="O78" s="19" t="s">
        <v>95</v>
      </c>
      <c r="P78" s="19" t="s">
        <v>1098</v>
      </c>
    </row>
    <row r="79" customFormat="false" ht="23.85" hidden="false" customHeight="false" outlineLevel="0" collapsed="false">
      <c r="A79" s="18" t="s">
        <v>1099</v>
      </c>
      <c r="B79" s="19" t="s">
        <v>1100</v>
      </c>
      <c r="C79" s="18" t="s">
        <v>1101</v>
      </c>
      <c r="D79" s="19" t="s">
        <v>975</v>
      </c>
      <c r="E79" s="19" t="s">
        <v>1102</v>
      </c>
      <c r="F79" s="19" t="s">
        <v>1103</v>
      </c>
      <c r="G79" s="19" t="s">
        <v>518</v>
      </c>
      <c r="H79" s="27" t="s">
        <v>506</v>
      </c>
      <c r="I79" s="19" t="s">
        <v>791</v>
      </c>
      <c r="J79" s="19" t="s">
        <v>496</v>
      </c>
      <c r="K79" s="19" t="s">
        <v>758</v>
      </c>
      <c r="L79" s="19" t="s">
        <v>1104</v>
      </c>
      <c r="M79" s="19" t="s">
        <v>1105</v>
      </c>
      <c r="N79" s="19" t="s">
        <v>95</v>
      </c>
      <c r="O79" s="19" t="s">
        <v>95</v>
      </c>
      <c r="P79" s="19" t="s">
        <v>1106</v>
      </c>
    </row>
    <row r="80" customFormat="false" ht="35.05" hidden="false" customHeight="false" outlineLevel="0" collapsed="false">
      <c r="A80" s="18" t="s">
        <v>1107</v>
      </c>
      <c r="B80" s="19" t="s">
        <v>1100</v>
      </c>
      <c r="C80" s="18" t="s">
        <v>1108</v>
      </c>
      <c r="D80" s="19" t="s">
        <v>391</v>
      </c>
      <c r="E80" s="19" t="s">
        <v>1109</v>
      </c>
      <c r="F80" s="19" t="s">
        <v>1110</v>
      </c>
      <c r="G80" s="19" t="s">
        <v>473</v>
      </c>
      <c r="H80" s="27" t="s">
        <v>506</v>
      </c>
      <c r="I80" s="19" t="s">
        <v>791</v>
      </c>
      <c r="J80" s="19" t="s">
        <v>496</v>
      </c>
      <c r="K80" s="19" t="s">
        <v>1034</v>
      </c>
      <c r="L80" s="19" t="s">
        <v>1099</v>
      </c>
      <c r="M80" s="19" t="s">
        <v>1111</v>
      </c>
      <c r="N80" s="19" t="s">
        <v>95</v>
      </c>
      <c r="O80" s="19" t="s">
        <v>95</v>
      </c>
      <c r="P80" s="19" t="s">
        <v>1112</v>
      </c>
    </row>
  </sheetData>
  <autoFilter ref="A1:P8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87FF"/>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30"/>
    <col collapsed="false" customWidth="true" hidden="false" outlineLevel="0" max="4" min="4" style="0" width="52"/>
    <col collapsed="false" customWidth="true" hidden="false" outlineLevel="0" max="5" min="5" style="0" width="48"/>
    <col collapsed="false" customWidth="true" hidden="false" outlineLevel="0" max="6" min="6" style="0" width="56"/>
    <col collapsed="false" customWidth="true" hidden="false" outlineLevel="0" max="7" min="7" style="0" width="8"/>
    <col collapsed="false" customWidth="true" hidden="false" outlineLevel="0" max="8" min="8" style="0" width="14"/>
    <col collapsed="false" customWidth="true" hidden="false" outlineLevel="0" max="9" min="9" style="0" width="56"/>
  </cols>
  <sheetData>
    <row r="1" customFormat="false" ht="30" hidden="false" customHeight="true" outlineLevel="0" collapsed="false">
      <c r="A1" s="17" t="s">
        <v>438</v>
      </c>
      <c r="B1" s="17" t="s">
        <v>1113</v>
      </c>
      <c r="C1" s="17" t="s">
        <v>440</v>
      </c>
      <c r="D1" s="17" t="s">
        <v>442</v>
      </c>
      <c r="E1" s="17" t="s">
        <v>1114</v>
      </c>
      <c r="F1" s="17" t="s">
        <v>1115</v>
      </c>
      <c r="G1" s="17" t="s">
        <v>446</v>
      </c>
      <c r="H1" s="17" t="s">
        <v>448</v>
      </c>
      <c r="I1" s="17" t="s">
        <v>1116</v>
      </c>
    </row>
    <row r="2" customFormat="false" ht="35.05" hidden="false" customHeight="false" outlineLevel="0" collapsed="false">
      <c r="A2" s="18" t="s">
        <v>1117</v>
      </c>
      <c r="B2" s="19" t="s">
        <v>1118</v>
      </c>
      <c r="C2" s="18" t="s">
        <v>1119</v>
      </c>
      <c r="D2" s="19" t="s">
        <v>1120</v>
      </c>
      <c r="E2" s="19" t="s">
        <v>1121</v>
      </c>
      <c r="F2" s="28" t="s">
        <v>1122</v>
      </c>
      <c r="G2" s="19" t="s">
        <v>462</v>
      </c>
      <c r="H2" s="19" t="s">
        <v>1123</v>
      </c>
      <c r="I2" s="19" t="s">
        <v>1124</v>
      </c>
    </row>
    <row r="3" customFormat="false" ht="23.85" hidden="false" customHeight="false" outlineLevel="0" collapsed="false">
      <c r="A3" s="18" t="s">
        <v>1125</v>
      </c>
      <c r="B3" s="19" t="s">
        <v>1118</v>
      </c>
      <c r="C3" s="18" t="s">
        <v>1126</v>
      </c>
      <c r="D3" s="19" t="s">
        <v>1127</v>
      </c>
      <c r="E3" s="19" t="s">
        <v>1128</v>
      </c>
      <c r="F3" s="28" t="s">
        <v>1129</v>
      </c>
      <c r="G3" s="19" t="s">
        <v>462</v>
      </c>
      <c r="H3" s="19" t="s">
        <v>1117</v>
      </c>
      <c r="I3" s="19" t="s">
        <v>1130</v>
      </c>
    </row>
    <row r="4" customFormat="false" ht="35.05" hidden="false" customHeight="false" outlineLevel="0" collapsed="false">
      <c r="A4" s="18" t="s">
        <v>1131</v>
      </c>
      <c r="B4" s="19" t="s">
        <v>1118</v>
      </c>
      <c r="C4" s="18" t="s">
        <v>1132</v>
      </c>
      <c r="D4" s="19" t="s">
        <v>1133</v>
      </c>
      <c r="E4" s="19" t="s">
        <v>1134</v>
      </c>
      <c r="F4" s="28" t="s">
        <v>1135</v>
      </c>
      <c r="G4" s="19" t="s">
        <v>1070</v>
      </c>
      <c r="H4" s="19" t="s">
        <v>1117</v>
      </c>
      <c r="I4" s="19" t="s">
        <v>1136</v>
      </c>
    </row>
    <row r="5" customFormat="false" ht="23.85" hidden="false" customHeight="false" outlineLevel="0" collapsed="false">
      <c r="A5" s="18" t="s">
        <v>1137</v>
      </c>
      <c r="B5" s="19" t="s">
        <v>1118</v>
      </c>
      <c r="C5" s="18" t="s">
        <v>1138</v>
      </c>
      <c r="D5" s="19" t="s">
        <v>1139</v>
      </c>
      <c r="E5" s="19" t="s">
        <v>1140</v>
      </c>
      <c r="F5" s="28" t="s">
        <v>1141</v>
      </c>
      <c r="G5" s="19" t="s">
        <v>462</v>
      </c>
      <c r="H5" s="19" t="s">
        <v>1117</v>
      </c>
      <c r="I5" s="19" t="s">
        <v>1142</v>
      </c>
    </row>
    <row r="6" customFormat="false" ht="23.85" hidden="false" customHeight="false" outlineLevel="0" collapsed="false">
      <c r="A6" s="18" t="s">
        <v>1143</v>
      </c>
      <c r="B6" s="19" t="s">
        <v>1118</v>
      </c>
      <c r="C6" s="18" t="s">
        <v>1144</v>
      </c>
      <c r="D6" s="19" t="s">
        <v>1145</v>
      </c>
      <c r="E6" s="19" t="s">
        <v>1146</v>
      </c>
      <c r="F6" s="28" t="s">
        <v>1147</v>
      </c>
      <c r="G6" s="19" t="s">
        <v>496</v>
      </c>
      <c r="H6" s="19" t="s">
        <v>1117</v>
      </c>
      <c r="I6" s="19" t="s">
        <v>1148</v>
      </c>
    </row>
    <row r="7" customFormat="false" ht="35.05" hidden="false" customHeight="false" outlineLevel="0" collapsed="false">
      <c r="A7" s="18" t="s">
        <v>1149</v>
      </c>
      <c r="B7" s="19" t="s">
        <v>1150</v>
      </c>
      <c r="C7" s="18" t="s">
        <v>1151</v>
      </c>
      <c r="D7" s="19" t="s">
        <v>1152</v>
      </c>
      <c r="E7" s="19" t="s">
        <v>1153</v>
      </c>
      <c r="F7" s="28" t="s">
        <v>1154</v>
      </c>
      <c r="G7" s="19" t="s">
        <v>462</v>
      </c>
      <c r="H7" s="19" t="s">
        <v>912</v>
      </c>
      <c r="I7" s="19" t="s">
        <v>1155</v>
      </c>
    </row>
    <row r="8" customFormat="false" ht="23.85" hidden="false" customHeight="false" outlineLevel="0" collapsed="false">
      <c r="A8" s="18" t="s">
        <v>1156</v>
      </c>
      <c r="B8" s="19" t="s">
        <v>1150</v>
      </c>
      <c r="C8" s="18" t="s">
        <v>1157</v>
      </c>
      <c r="D8" s="19" t="s">
        <v>1158</v>
      </c>
      <c r="E8" s="19" t="s">
        <v>1159</v>
      </c>
      <c r="F8" s="28" t="s">
        <v>1160</v>
      </c>
      <c r="G8" s="19" t="s">
        <v>496</v>
      </c>
      <c r="H8" s="19" t="s">
        <v>1161</v>
      </c>
      <c r="I8" s="19" t="s">
        <v>1162</v>
      </c>
    </row>
    <row r="9" customFormat="false" ht="23.85" hidden="false" customHeight="false" outlineLevel="0" collapsed="false">
      <c r="A9" s="18" t="s">
        <v>1163</v>
      </c>
      <c r="B9" s="19" t="s">
        <v>1150</v>
      </c>
      <c r="C9" s="18" t="s">
        <v>1164</v>
      </c>
      <c r="D9" s="19" t="s">
        <v>1165</v>
      </c>
      <c r="E9" s="19" t="s">
        <v>1166</v>
      </c>
      <c r="F9" s="28" t="s">
        <v>1160</v>
      </c>
      <c r="G9" s="19" t="s">
        <v>462</v>
      </c>
      <c r="H9" s="19" t="s">
        <v>1167</v>
      </c>
      <c r="I9" s="19" t="s">
        <v>1168</v>
      </c>
    </row>
    <row r="10" customFormat="false" ht="23.85" hidden="false" customHeight="false" outlineLevel="0" collapsed="false">
      <c r="A10" s="18" t="s">
        <v>1169</v>
      </c>
      <c r="B10" s="19" t="s">
        <v>1150</v>
      </c>
      <c r="C10" s="18" t="s">
        <v>1170</v>
      </c>
      <c r="D10" s="19" t="s">
        <v>1171</v>
      </c>
      <c r="E10" s="19" t="s">
        <v>1172</v>
      </c>
      <c r="F10" s="28" t="s">
        <v>1173</v>
      </c>
      <c r="G10" s="19" t="s">
        <v>462</v>
      </c>
      <c r="H10" s="19" t="s">
        <v>1174</v>
      </c>
      <c r="I10" s="19" t="s">
        <v>1175</v>
      </c>
    </row>
    <row r="11" customFormat="false" ht="23.85" hidden="false" customHeight="false" outlineLevel="0" collapsed="false">
      <c r="A11" s="18" t="s">
        <v>1176</v>
      </c>
      <c r="B11" s="19" t="s">
        <v>1150</v>
      </c>
      <c r="C11" s="18" t="s">
        <v>1177</v>
      </c>
      <c r="D11" s="19" t="s">
        <v>1178</v>
      </c>
      <c r="E11" s="19" t="s">
        <v>1179</v>
      </c>
      <c r="F11" s="28" t="s">
        <v>1180</v>
      </c>
      <c r="G11" s="19" t="s">
        <v>462</v>
      </c>
      <c r="H11" s="19" t="s">
        <v>1099</v>
      </c>
      <c r="I11" s="19" t="s">
        <v>1181</v>
      </c>
    </row>
    <row r="12" customFormat="false" ht="23.85" hidden="false" customHeight="false" outlineLevel="0" collapsed="false">
      <c r="A12" s="18" t="s">
        <v>1182</v>
      </c>
      <c r="B12" s="19" t="s">
        <v>1183</v>
      </c>
      <c r="C12" s="18" t="s">
        <v>1184</v>
      </c>
      <c r="D12" s="19" t="s">
        <v>1185</v>
      </c>
      <c r="E12" s="19" t="s">
        <v>1186</v>
      </c>
      <c r="F12" s="28" t="s">
        <v>1187</v>
      </c>
      <c r="G12" s="19" t="s">
        <v>462</v>
      </c>
      <c r="H12" s="19" t="s">
        <v>787</v>
      </c>
      <c r="I12" s="19" t="s">
        <v>1188</v>
      </c>
    </row>
    <row r="13" customFormat="false" ht="23.85" hidden="false" customHeight="false" outlineLevel="0" collapsed="false">
      <c r="A13" s="18" t="s">
        <v>1189</v>
      </c>
      <c r="B13" s="19" t="s">
        <v>1183</v>
      </c>
      <c r="C13" s="18" t="s">
        <v>1190</v>
      </c>
      <c r="D13" s="19" t="s">
        <v>1191</v>
      </c>
      <c r="E13" s="19" t="s">
        <v>1192</v>
      </c>
      <c r="F13" s="28" t="s">
        <v>1193</v>
      </c>
      <c r="G13" s="19" t="s">
        <v>462</v>
      </c>
      <c r="H13" s="19" t="s">
        <v>1194</v>
      </c>
      <c r="I13" s="19" t="s">
        <v>1195</v>
      </c>
    </row>
    <row r="14" customFormat="false" ht="23.85" hidden="false" customHeight="false" outlineLevel="0" collapsed="false">
      <c r="A14" s="18" t="s">
        <v>1196</v>
      </c>
      <c r="B14" s="19" t="s">
        <v>1183</v>
      </c>
      <c r="C14" s="18" t="s">
        <v>1197</v>
      </c>
      <c r="D14" s="19" t="s">
        <v>1198</v>
      </c>
      <c r="E14" s="19" t="s">
        <v>1199</v>
      </c>
      <c r="F14" s="28" t="s">
        <v>1200</v>
      </c>
      <c r="G14" s="19" t="s">
        <v>496</v>
      </c>
      <c r="H14" s="19" t="s">
        <v>822</v>
      </c>
      <c r="I14" s="19" t="s">
        <v>1201</v>
      </c>
    </row>
    <row r="15" customFormat="false" ht="23.85" hidden="false" customHeight="false" outlineLevel="0" collapsed="false">
      <c r="A15" s="18" t="s">
        <v>1202</v>
      </c>
      <c r="B15" s="19" t="s">
        <v>1203</v>
      </c>
      <c r="C15" s="18" t="s">
        <v>1204</v>
      </c>
      <c r="D15" s="19" t="s">
        <v>1205</v>
      </c>
      <c r="E15" s="19" t="s">
        <v>1206</v>
      </c>
      <c r="F15" s="28" t="s">
        <v>1207</v>
      </c>
      <c r="G15" s="19" t="s">
        <v>462</v>
      </c>
      <c r="H15" s="19" t="s">
        <v>1149</v>
      </c>
      <c r="I15" s="19" t="s">
        <v>1208</v>
      </c>
    </row>
    <row r="16" customFormat="false" ht="35.05" hidden="false" customHeight="false" outlineLevel="0" collapsed="false">
      <c r="A16" s="18" t="s">
        <v>1209</v>
      </c>
      <c r="B16" s="19" t="s">
        <v>1203</v>
      </c>
      <c r="C16" s="18" t="s">
        <v>1210</v>
      </c>
      <c r="D16" s="19" t="s">
        <v>1211</v>
      </c>
      <c r="E16" s="19" t="s">
        <v>1212</v>
      </c>
      <c r="F16" s="28" t="s">
        <v>1213</v>
      </c>
      <c r="G16" s="19" t="s">
        <v>1070</v>
      </c>
      <c r="H16" s="19" t="s">
        <v>1196</v>
      </c>
      <c r="I16" s="19" t="s">
        <v>1214</v>
      </c>
    </row>
    <row r="17" customFormat="false" ht="35.05" hidden="false" customHeight="false" outlineLevel="0" collapsed="false">
      <c r="A17" s="18" t="s">
        <v>1215</v>
      </c>
      <c r="B17" s="19" t="s">
        <v>1216</v>
      </c>
      <c r="C17" s="18" t="s">
        <v>1217</v>
      </c>
      <c r="D17" s="19" t="s">
        <v>1218</v>
      </c>
      <c r="E17" s="19" t="s">
        <v>1219</v>
      </c>
      <c r="F17" s="28" t="s">
        <v>1220</v>
      </c>
      <c r="G17" s="19" t="s">
        <v>462</v>
      </c>
      <c r="H17" s="19" t="s">
        <v>1003</v>
      </c>
      <c r="I17" s="19" t="s">
        <v>1221</v>
      </c>
    </row>
    <row r="18" customFormat="false" ht="23.85" hidden="false" customHeight="false" outlineLevel="0" collapsed="false">
      <c r="A18" s="18" t="s">
        <v>1222</v>
      </c>
      <c r="B18" s="19" t="s">
        <v>1216</v>
      </c>
      <c r="C18" s="18" t="s">
        <v>1223</v>
      </c>
      <c r="D18" s="19" t="s">
        <v>1224</v>
      </c>
      <c r="E18" s="19" t="s">
        <v>1225</v>
      </c>
      <c r="F18" s="28" t="s">
        <v>1226</v>
      </c>
      <c r="G18" s="19" t="s">
        <v>462</v>
      </c>
      <c r="H18" s="19" t="s">
        <v>95</v>
      </c>
      <c r="I18" s="19" t="s">
        <v>1227</v>
      </c>
    </row>
    <row r="19" customFormat="false" ht="23.85" hidden="false" customHeight="false" outlineLevel="0" collapsed="false">
      <c r="A19" s="18" t="s">
        <v>1228</v>
      </c>
      <c r="B19" s="19" t="s">
        <v>1216</v>
      </c>
      <c r="C19" s="18" t="s">
        <v>1229</v>
      </c>
      <c r="D19" s="19" t="s">
        <v>1230</v>
      </c>
      <c r="E19" s="19" t="s">
        <v>1231</v>
      </c>
      <c r="F19" s="28" t="s">
        <v>1232</v>
      </c>
      <c r="G19" s="19" t="s">
        <v>496</v>
      </c>
      <c r="H19" s="19" t="s">
        <v>542</v>
      </c>
      <c r="I19" s="19" t="s">
        <v>1233</v>
      </c>
    </row>
  </sheetData>
  <autoFilter ref="A1:I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3DF5"/>
    <pageSetUpPr fitToPage="false"/>
  </sheetPr>
  <dimension ref="A1:O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4"/>
    <col collapsed="false" customWidth="true" hidden="false" outlineLevel="0" max="4" min="4" style="0" width="20"/>
    <col collapsed="false" customWidth="true" hidden="false" outlineLevel="0" max="5" min="5" style="0" width="46"/>
    <col collapsed="false" customWidth="true" hidden="false" outlineLevel="0" max="6" min="6" style="0" width="34"/>
    <col collapsed="false" customWidth="true" hidden="false" outlineLevel="0" max="7" min="7" style="0" width="54"/>
    <col collapsed="false" customWidth="true" hidden="false" outlineLevel="0" max="10" min="8" style="0" width="24"/>
    <col collapsed="false" customWidth="true" hidden="false" outlineLevel="0" max="11" min="11" style="0" width="50"/>
    <col collapsed="false" customWidth="true" hidden="false" outlineLevel="0" max="12" min="12" style="0" width="22"/>
    <col collapsed="false" customWidth="true" hidden="false" outlineLevel="0" max="13" min="13" style="0" width="30"/>
    <col collapsed="false" customWidth="true" hidden="false" outlineLevel="0" max="14" min="14" style="0" width="34"/>
    <col collapsed="false" customWidth="true" hidden="false" outlineLevel="0" max="15" min="15" style="0" width="30"/>
  </cols>
  <sheetData>
    <row r="1" customFormat="false" ht="30" hidden="false" customHeight="true" outlineLevel="0" collapsed="false">
      <c r="A1" s="17" t="s">
        <v>1234</v>
      </c>
      <c r="B1" s="17" t="s">
        <v>1235</v>
      </c>
      <c r="C1" s="17" t="s">
        <v>1236</v>
      </c>
      <c r="D1" s="17" t="s">
        <v>1237</v>
      </c>
      <c r="E1" s="17" t="s">
        <v>1238</v>
      </c>
      <c r="F1" s="17" t="s">
        <v>1239</v>
      </c>
      <c r="G1" s="17" t="s">
        <v>1240</v>
      </c>
      <c r="H1" s="17" t="s">
        <v>1241</v>
      </c>
      <c r="I1" s="17" t="s">
        <v>1242</v>
      </c>
      <c r="J1" s="17" t="s">
        <v>1243</v>
      </c>
      <c r="K1" s="17" t="s">
        <v>1244</v>
      </c>
      <c r="L1" s="17" t="s">
        <v>1245</v>
      </c>
      <c r="M1" s="17" t="s">
        <v>1246</v>
      </c>
      <c r="N1" s="17" t="s">
        <v>1247</v>
      </c>
      <c r="O1" s="17" t="s">
        <v>87</v>
      </c>
    </row>
    <row r="2" customFormat="false" ht="23.85" hidden="false" customHeight="false" outlineLevel="0" collapsed="false">
      <c r="A2" s="18" t="n">
        <v>1</v>
      </c>
      <c r="B2" s="29" t="s">
        <v>1248</v>
      </c>
      <c r="C2" s="19" t="s">
        <v>1249</v>
      </c>
      <c r="D2" s="19" t="s">
        <v>1250</v>
      </c>
      <c r="E2" s="19" t="s">
        <v>1251</v>
      </c>
      <c r="F2" s="19" t="s">
        <v>1252</v>
      </c>
      <c r="G2" s="19" t="s">
        <v>1253</v>
      </c>
      <c r="H2" s="19" t="s">
        <v>1254</v>
      </c>
      <c r="I2" s="19" t="s">
        <v>1255</v>
      </c>
      <c r="J2" s="19" t="s">
        <v>1256</v>
      </c>
      <c r="K2" s="19" t="s">
        <v>1257</v>
      </c>
      <c r="L2" s="19" t="s">
        <v>95</v>
      </c>
      <c r="M2" s="19" t="s">
        <v>1258</v>
      </c>
      <c r="N2" s="19" t="s">
        <v>95</v>
      </c>
      <c r="O2" s="19" t="s">
        <v>95</v>
      </c>
    </row>
    <row r="3" customFormat="false" ht="23.85" hidden="false" customHeight="false" outlineLevel="0" collapsed="false">
      <c r="A3" s="18" t="n">
        <v>2</v>
      </c>
      <c r="B3" s="29" t="s">
        <v>1248</v>
      </c>
      <c r="C3" s="19" t="s">
        <v>1249</v>
      </c>
      <c r="D3" s="19" t="s">
        <v>1259</v>
      </c>
      <c r="E3" s="19" t="s">
        <v>1260</v>
      </c>
      <c r="F3" s="19" t="s">
        <v>1261</v>
      </c>
      <c r="G3" s="19" t="s">
        <v>1262</v>
      </c>
      <c r="H3" s="19" t="s">
        <v>206</v>
      </c>
      <c r="I3" s="19" t="s">
        <v>1256</v>
      </c>
      <c r="J3" s="19" t="s">
        <v>1263</v>
      </c>
      <c r="K3" s="19" t="s">
        <v>1264</v>
      </c>
      <c r="L3" s="19" t="s">
        <v>1265</v>
      </c>
      <c r="M3" s="19" t="s">
        <v>95</v>
      </c>
      <c r="N3" s="19" t="s">
        <v>95</v>
      </c>
      <c r="O3" s="19" t="s">
        <v>94</v>
      </c>
    </row>
    <row r="4" customFormat="false" ht="23.85" hidden="false" customHeight="false" outlineLevel="0" collapsed="false">
      <c r="A4" s="18" t="n">
        <v>3</v>
      </c>
      <c r="B4" s="29" t="s">
        <v>1248</v>
      </c>
      <c r="C4" s="19" t="s">
        <v>1249</v>
      </c>
      <c r="D4" s="19" t="s">
        <v>1266</v>
      </c>
      <c r="E4" s="19" t="s">
        <v>1267</v>
      </c>
      <c r="F4" s="19" t="s">
        <v>1268</v>
      </c>
      <c r="G4" s="19" t="s">
        <v>1269</v>
      </c>
      <c r="H4" s="19" t="s">
        <v>95</v>
      </c>
      <c r="I4" s="19" t="s">
        <v>1263</v>
      </c>
      <c r="J4" s="19" t="s">
        <v>1270</v>
      </c>
      <c r="K4" s="19" t="s">
        <v>1271</v>
      </c>
      <c r="L4" s="19" t="s">
        <v>95</v>
      </c>
      <c r="M4" s="19" t="s">
        <v>1272</v>
      </c>
      <c r="N4" s="19" t="s">
        <v>1001</v>
      </c>
      <c r="O4" s="19" t="s">
        <v>1273</v>
      </c>
    </row>
    <row r="5" customFormat="false" ht="23.85" hidden="false" customHeight="false" outlineLevel="0" collapsed="false">
      <c r="A5" s="18" t="n">
        <v>4</v>
      </c>
      <c r="B5" s="29" t="s">
        <v>1248</v>
      </c>
      <c r="C5" s="19" t="s">
        <v>1249</v>
      </c>
      <c r="D5" s="19" t="s">
        <v>456</v>
      </c>
      <c r="E5" s="19" t="s">
        <v>1274</v>
      </c>
      <c r="F5" s="19" t="s">
        <v>1275</v>
      </c>
      <c r="G5" s="19" t="s">
        <v>1276</v>
      </c>
      <c r="H5" s="19" t="s">
        <v>95</v>
      </c>
      <c r="I5" s="19" t="s">
        <v>1277</v>
      </c>
      <c r="J5" s="19" t="s">
        <v>1278</v>
      </c>
      <c r="K5" s="19" t="s">
        <v>1279</v>
      </c>
      <c r="L5" s="19" t="s">
        <v>1280</v>
      </c>
      <c r="M5" s="19" t="s">
        <v>1281</v>
      </c>
      <c r="N5" s="19" t="s">
        <v>467</v>
      </c>
      <c r="O5" s="19" t="s">
        <v>453</v>
      </c>
    </row>
    <row r="6" customFormat="false" ht="23.85" hidden="false" customHeight="false" outlineLevel="0" collapsed="false">
      <c r="A6" s="18" t="n">
        <v>5</v>
      </c>
      <c r="B6" s="29" t="s">
        <v>1248</v>
      </c>
      <c r="C6" s="19" t="s">
        <v>1249</v>
      </c>
      <c r="D6" s="19" t="s">
        <v>1282</v>
      </c>
      <c r="E6" s="19" t="s">
        <v>1283</v>
      </c>
      <c r="F6" s="19" t="s">
        <v>1284</v>
      </c>
      <c r="G6" s="19" t="s">
        <v>1285</v>
      </c>
      <c r="H6" s="19" t="s">
        <v>95</v>
      </c>
      <c r="I6" s="19" t="s">
        <v>1278</v>
      </c>
      <c r="J6" s="19" t="s">
        <v>1286</v>
      </c>
      <c r="K6" s="19" t="s">
        <v>1287</v>
      </c>
      <c r="L6" s="19" t="s">
        <v>95</v>
      </c>
      <c r="M6" s="19" t="s">
        <v>1288</v>
      </c>
      <c r="N6" s="19" t="s">
        <v>1012</v>
      </c>
      <c r="O6" s="19" t="s">
        <v>1003</v>
      </c>
    </row>
    <row r="7" customFormat="false" ht="23.85" hidden="false" customHeight="false" outlineLevel="0" collapsed="false">
      <c r="A7" s="18" t="n">
        <v>6</v>
      </c>
      <c r="B7" s="29" t="s">
        <v>1248</v>
      </c>
      <c r="C7" s="19" t="s">
        <v>1249</v>
      </c>
      <c r="D7" s="19" t="s">
        <v>1289</v>
      </c>
      <c r="E7" s="19" t="s">
        <v>1290</v>
      </c>
      <c r="F7" s="19" t="s">
        <v>1291</v>
      </c>
      <c r="G7" s="19" t="s">
        <v>1292</v>
      </c>
      <c r="H7" s="19" t="s">
        <v>95</v>
      </c>
      <c r="I7" s="19" t="s">
        <v>1286</v>
      </c>
      <c r="J7" s="19" t="s">
        <v>1293</v>
      </c>
      <c r="K7" s="19" t="s">
        <v>1294</v>
      </c>
      <c r="L7" s="19" t="s">
        <v>95</v>
      </c>
      <c r="M7" s="19" t="s">
        <v>1295</v>
      </c>
      <c r="N7" s="19" t="s">
        <v>1296</v>
      </c>
      <c r="O7" s="19" t="s">
        <v>1297</v>
      </c>
    </row>
    <row r="8" customFormat="false" ht="35.05" hidden="false" customHeight="false" outlineLevel="0" collapsed="false">
      <c r="A8" s="18" t="n">
        <v>7</v>
      </c>
      <c r="B8" s="29" t="s">
        <v>1248</v>
      </c>
      <c r="C8" s="19" t="s">
        <v>1249</v>
      </c>
      <c r="D8" s="19" t="s">
        <v>544</v>
      </c>
      <c r="E8" s="19" t="s">
        <v>1298</v>
      </c>
      <c r="F8" s="19" t="s">
        <v>1299</v>
      </c>
      <c r="G8" s="19" t="s">
        <v>1300</v>
      </c>
      <c r="H8" s="19" t="s">
        <v>1301</v>
      </c>
      <c r="I8" s="19" t="s">
        <v>1293</v>
      </c>
      <c r="J8" s="19" t="s">
        <v>1302</v>
      </c>
      <c r="K8" s="19" t="s">
        <v>1303</v>
      </c>
      <c r="L8" s="19" t="s">
        <v>95</v>
      </c>
      <c r="M8" s="19" t="s">
        <v>1304</v>
      </c>
      <c r="N8" s="19" t="s">
        <v>1305</v>
      </c>
      <c r="O8" s="19" t="s">
        <v>1306</v>
      </c>
    </row>
    <row r="9" customFormat="false" ht="35.05" hidden="false" customHeight="false" outlineLevel="0" collapsed="false">
      <c r="A9" s="18" t="n">
        <v>8</v>
      </c>
      <c r="B9" s="29" t="s">
        <v>1248</v>
      </c>
      <c r="C9" s="19" t="s">
        <v>1249</v>
      </c>
      <c r="D9" s="19" t="s">
        <v>1307</v>
      </c>
      <c r="E9" s="19" t="s">
        <v>1308</v>
      </c>
      <c r="F9" s="19" t="s">
        <v>1309</v>
      </c>
      <c r="G9" s="19" t="s">
        <v>1310</v>
      </c>
      <c r="H9" s="19" t="s">
        <v>244</v>
      </c>
      <c r="I9" s="19" t="s">
        <v>1302</v>
      </c>
      <c r="J9" s="19" t="s">
        <v>1311</v>
      </c>
      <c r="K9" s="19" t="s">
        <v>1312</v>
      </c>
      <c r="L9" s="19" t="s">
        <v>95</v>
      </c>
      <c r="M9" s="19" t="s">
        <v>95</v>
      </c>
      <c r="N9" s="19" t="s">
        <v>95</v>
      </c>
      <c r="O9" s="19" t="s">
        <v>542</v>
      </c>
    </row>
    <row r="10" customFormat="false" ht="35.05" hidden="false" customHeight="false" outlineLevel="0" collapsed="false">
      <c r="A10" s="18" t="n">
        <v>9</v>
      </c>
      <c r="B10" s="29" t="s">
        <v>1248</v>
      </c>
      <c r="C10" s="19" t="s">
        <v>1313</v>
      </c>
      <c r="D10" s="19" t="s">
        <v>1314</v>
      </c>
      <c r="E10" s="19" t="s">
        <v>1315</v>
      </c>
      <c r="F10" s="19" t="s">
        <v>1316</v>
      </c>
      <c r="G10" s="19" t="s">
        <v>1317</v>
      </c>
      <c r="H10" s="19" t="s">
        <v>95</v>
      </c>
      <c r="I10" s="19" t="s">
        <v>1318</v>
      </c>
      <c r="J10" s="19" t="s">
        <v>1319</v>
      </c>
      <c r="K10" s="19" t="s">
        <v>1320</v>
      </c>
      <c r="L10" s="19" t="s">
        <v>1321</v>
      </c>
      <c r="M10" s="19" t="s">
        <v>95</v>
      </c>
      <c r="N10" s="19" t="s">
        <v>1322</v>
      </c>
      <c r="O10" s="19" t="s">
        <v>845</v>
      </c>
    </row>
    <row r="11" customFormat="false" ht="23.85" hidden="false" customHeight="false" outlineLevel="0" collapsed="false">
      <c r="A11" s="18" t="n">
        <v>10</v>
      </c>
      <c r="B11" s="28" t="s">
        <v>1323</v>
      </c>
      <c r="C11" s="19" t="s">
        <v>1249</v>
      </c>
      <c r="D11" s="19" t="s">
        <v>231</v>
      </c>
      <c r="E11" s="19" t="s">
        <v>1324</v>
      </c>
      <c r="F11" s="19" t="s">
        <v>1325</v>
      </c>
      <c r="G11" s="19" t="s">
        <v>1326</v>
      </c>
      <c r="H11" s="19" t="s">
        <v>1327</v>
      </c>
      <c r="I11" s="19" t="s">
        <v>1328</v>
      </c>
      <c r="J11" s="19" t="s">
        <v>1329</v>
      </c>
      <c r="K11" s="19" t="s">
        <v>1330</v>
      </c>
      <c r="L11" s="19" t="s">
        <v>95</v>
      </c>
      <c r="M11" s="19" t="s">
        <v>1331</v>
      </c>
      <c r="N11" s="19" t="s">
        <v>663</v>
      </c>
      <c r="O11" s="19" t="s">
        <v>1332</v>
      </c>
    </row>
    <row r="12" customFormat="false" ht="23.85" hidden="false" customHeight="false" outlineLevel="0" collapsed="false">
      <c r="A12" s="18" t="n">
        <v>11</v>
      </c>
      <c r="B12" s="28" t="s">
        <v>1323</v>
      </c>
      <c r="C12" s="19" t="s">
        <v>1249</v>
      </c>
      <c r="D12" s="19" t="s">
        <v>231</v>
      </c>
      <c r="E12" s="19" t="s">
        <v>1333</v>
      </c>
      <c r="F12" s="19" t="s">
        <v>1334</v>
      </c>
      <c r="G12" s="19" t="s">
        <v>1335</v>
      </c>
      <c r="H12" s="19" t="s">
        <v>1336</v>
      </c>
      <c r="I12" s="19" t="s">
        <v>1329</v>
      </c>
      <c r="J12" s="19" t="s">
        <v>1337</v>
      </c>
      <c r="K12" s="19" t="s">
        <v>1338</v>
      </c>
      <c r="L12" s="19" t="s">
        <v>95</v>
      </c>
      <c r="M12" s="19" t="s">
        <v>1339</v>
      </c>
      <c r="N12" s="19" t="s">
        <v>644</v>
      </c>
      <c r="O12" s="19" t="s">
        <v>1340</v>
      </c>
    </row>
    <row r="13" customFormat="false" ht="23.85" hidden="false" customHeight="false" outlineLevel="0" collapsed="false">
      <c r="A13" s="18" t="n">
        <v>12</v>
      </c>
      <c r="B13" s="28" t="s">
        <v>1323</v>
      </c>
      <c r="C13" s="19" t="s">
        <v>1249</v>
      </c>
      <c r="D13" s="19" t="s">
        <v>231</v>
      </c>
      <c r="E13" s="19" t="s">
        <v>1341</v>
      </c>
      <c r="F13" s="19" t="s">
        <v>1342</v>
      </c>
      <c r="G13" s="19" t="s">
        <v>1343</v>
      </c>
      <c r="H13" s="19" t="s">
        <v>1344</v>
      </c>
      <c r="I13" s="19" t="s">
        <v>1345</v>
      </c>
      <c r="J13" s="19" t="s">
        <v>1346</v>
      </c>
      <c r="K13" s="19" t="s">
        <v>1347</v>
      </c>
      <c r="L13" s="19" t="s">
        <v>95</v>
      </c>
      <c r="M13" s="19" t="s">
        <v>1348</v>
      </c>
      <c r="N13" s="19" t="s">
        <v>1349</v>
      </c>
      <c r="O13" s="19" t="s">
        <v>140</v>
      </c>
    </row>
    <row r="14" customFormat="false" ht="35.05" hidden="false" customHeight="false" outlineLevel="0" collapsed="false">
      <c r="A14" s="18" t="n">
        <v>13</v>
      </c>
      <c r="B14" s="28" t="s">
        <v>1323</v>
      </c>
      <c r="C14" s="19" t="s">
        <v>1313</v>
      </c>
      <c r="D14" s="19" t="s">
        <v>1350</v>
      </c>
      <c r="E14" s="19" t="s">
        <v>1351</v>
      </c>
      <c r="F14" s="19" t="s">
        <v>1352</v>
      </c>
      <c r="G14" s="19" t="s">
        <v>1353</v>
      </c>
      <c r="H14" s="19" t="s">
        <v>1354</v>
      </c>
      <c r="I14" s="19" t="s">
        <v>1346</v>
      </c>
      <c r="J14" s="19" t="s">
        <v>1355</v>
      </c>
      <c r="K14" s="19" t="s">
        <v>1356</v>
      </c>
      <c r="L14" s="19" t="s">
        <v>95</v>
      </c>
      <c r="M14" s="19" t="s">
        <v>1357</v>
      </c>
      <c r="N14" s="19" t="s">
        <v>1358</v>
      </c>
      <c r="O14" s="19" t="s">
        <v>1359</v>
      </c>
    </row>
    <row r="15" customFormat="false" ht="46.25" hidden="false" customHeight="false" outlineLevel="0" collapsed="false">
      <c r="A15" s="18" t="n">
        <v>14</v>
      </c>
      <c r="B15" s="28" t="s">
        <v>1323</v>
      </c>
      <c r="C15" s="19" t="s">
        <v>1249</v>
      </c>
      <c r="D15" s="19" t="s">
        <v>231</v>
      </c>
      <c r="E15" s="19" t="s">
        <v>1360</v>
      </c>
      <c r="F15" s="19" t="s">
        <v>1361</v>
      </c>
      <c r="G15" s="19" t="s">
        <v>1362</v>
      </c>
      <c r="H15" s="19" t="s">
        <v>1363</v>
      </c>
      <c r="I15" s="19" t="s">
        <v>1355</v>
      </c>
      <c r="J15" s="19" t="s">
        <v>1364</v>
      </c>
      <c r="K15" s="19" t="s">
        <v>1365</v>
      </c>
      <c r="L15" s="19" t="s">
        <v>1366</v>
      </c>
      <c r="M15" s="19" t="s">
        <v>95</v>
      </c>
      <c r="N15" s="19" t="s">
        <v>1367</v>
      </c>
      <c r="O15" s="19" t="s">
        <v>1368</v>
      </c>
    </row>
    <row r="16" customFormat="false" ht="23.85" hidden="false" customHeight="false" outlineLevel="0" collapsed="false">
      <c r="A16" s="18" t="n">
        <v>15</v>
      </c>
      <c r="B16" s="28" t="s">
        <v>1323</v>
      </c>
      <c r="C16" s="19" t="s">
        <v>1313</v>
      </c>
      <c r="D16" s="19" t="s">
        <v>515</v>
      </c>
      <c r="E16" s="19" t="s">
        <v>1369</v>
      </c>
      <c r="F16" s="19" t="s">
        <v>1370</v>
      </c>
      <c r="G16" s="19" t="s">
        <v>1371</v>
      </c>
      <c r="H16" s="19" t="s">
        <v>95</v>
      </c>
      <c r="I16" s="19" t="s">
        <v>1372</v>
      </c>
      <c r="J16" s="19" t="s">
        <v>1373</v>
      </c>
      <c r="K16" s="19" t="s">
        <v>1374</v>
      </c>
      <c r="L16" s="19" t="s">
        <v>95</v>
      </c>
      <c r="M16" s="19" t="s">
        <v>1375</v>
      </c>
      <c r="N16" s="19" t="s">
        <v>522</v>
      </c>
      <c r="O16" s="19" t="s">
        <v>1376</v>
      </c>
    </row>
    <row r="17" customFormat="false" ht="23.85" hidden="false" customHeight="false" outlineLevel="0" collapsed="false">
      <c r="A17" s="18" t="n">
        <v>16</v>
      </c>
      <c r="B17" s="28" t="s">
        <v>1323</v>
      </c>
      <c r="C17" s="19" t="s">
        <v>1249</v>
      </c>
      <c r="D17" s="19" t="s">
        <v>1377</v>
      </c>
      <c r="E17" s="19" t="s">
        <v>1378</v>
      </c>
      <c r="F17" s="19" t="s">
        <v>1379</v>
      </c>
      <c r="G17" s="19" t="s">
        <v>1380</v>
      </c>
      <c r="H17" s="19" t="s">
        <v>95</v>
      </c>
      <c r="I17" s="19" t="s">
        <v>1381</v>
      </c>
      <c r="J17" s="19" t="s">
        <v>1382</v>
      </c>
      <c r="K17" s="19" t="s">
        <v>1383</v>
      </c>
      <c r="L17" s="19" t="s">
        <v>95</v>
      </c>
      <c r="M17" s="19" t="s">
        <v>95</v>
      </c>
      <c r="N17" s="19" t="s">
        <v>1384</v>
      </c>
      <c r="O17" s="19" t="s">
        <v>596</v>
      </c>
    </row>
    <row r="18" customFormat="false" ht="23.85" hidden="false" customHeight="false" outlineLevel="0" collapsed="false">
      <c r="A18" s="18" t="n">
        <v>17</v>
      </c>
      <c r="B18" s="28" t="s">
        <v>1323</v>
      </c>
      <c r="C18" s="19" t="s">
        <v>1249</v>
      </c>
      <c r="D18" s="19" t="s">
        <v>1377</v>
      </c>
      <c r="E18" s="19" t="s">
        <v>1385</v>
      </c>
      <c r="F18" s="19" t="s">
        <v>1386</v>
      </c>
      <c r="G18" s="19" t="s">
        <v>1387</v>
      </c>
      <c r="H18" s="19" t="s">
        <v>1388</v>
      </c>
      <c r="I18" s="19" t="s">
        <v>1382</v>
      </c>
      <c r="J18" s="19" t="s">
        <v>1389</v>
      </c>
      <c r="K18" s="19" t="s">
        <v>1390</v>
      </c>
      <c r="L18" s="19" t="s">
        <v>95</v>
      </c>
      <c r="M18" s="19" t="s">
        <v>1391</v>
      </c>
      <c r="N18" s="19" t="s">
        <v>711</v>
      </c>
      <c r="O18" s="19" t="s">
        <v>1392</v>
      </c>
    </row>
    <row r="19" customFormat="false" ht="23.85" hidden="false" customHeight="false" outlineLevel="0" collapsed="false">
      <c r="A19" s="18" t="n">
        <v>18</v>
      </c>
      <c r="B19" s="28" t="s">
        <v>1323</v>
      </c>
      <c r="C19" s="19" t="s">
        <v>1393</v>
      </c>
      <c r="D19" s="19" t="s">
        <v>1394</v>
      </c>
      <c r="E19" s="19" t="s">
        <v>1395</v>
      </c>
      <c r="F19" s="19" t="s">
        <v>1396</v>
      </c>
      <c r="G19" s="19" t="s">
        <v>1397</v>
      </c>
      <c r="H19" s="19" t="s">
        <v>1398</v>
      </c>
      <c r="I19" s="19" t="s">
        <v>1399</v>
      </c>
      <c r="J19" s="19" t="s">
        <v>1400</v>
      </c>
      <c r="K19" s="19" t="s">
        <v>1401</v>
      </c>
      <c r="L19" s="19" t="s">
        <v>1402</v>
      </c>
      <c r="M19" s="19" t="s">
        <v>1403</v>
      </c>
      <c r="N19" s="19" t="s">
        <v>1404</v>
      </c>
      <c r="O19" s="19" t="s">
        <v>1405</v>
      </c>
    </row>
    <row r="20" customFormat="false" ht="23.85" hidden="false" customHeight="false" outlineLevel="0" collapsed="false">
      <c r="A20" s="18" t="n">
        <v>19</v>
      </c>
      <c r="B20" s="28" t="s">
        <v>1323</v>
      </c>
      <c r="C20" s="19" t="s">
        <v>1406</v>
      </c>
      <c r="D20" s="19" t="s">
        <v>324</v>
      </c>
      <c r="E20" s="19" t="s">
        <v>1407</v>
      </c>
      <c r="F20" s="19" t="s">
        <v>1408</v>
      </c>
      <c r="G20" s="19" t="s">
        <v>1409</v>
      </c>
      <c r="H20" s="19" t="s">
        <v>1410</v>
      </c>
      <c r="I20" s="19" t="s">
        <v>1411</v>
      </c>
      <c r="J20" s="19" t="s">
        <v>1412</v>
      </c>
      <c r="K20" s="19" t="s">
        <v>1413</v>
      </c>
      <c r="L20" s="19" t="s">
        <v>1414</v>
      </c>
      <c r="M20" s="19" t="s">
        <v>1415</v>
      </c>
      <c r="N20" s="19" t="s">
        <v>1416</v>
      </c>
      <c r="O20" s="19" t="s">
        <v>1417</v>
      </c>
    </row>
    <row r="21" customFormat="false" ht="23.85" hidden="false" customHeight="false" outlineLevel="0" collapsed="false">
      <c r="A21" s="18" t="n">
        <v>20</v>
      </c>
      <c r="B21" s="28" t="s">
        <v>1323</v>
      </c>
      <c r="C21" s="19" t="s">
        <v>1406</v>
      </c>
      <c r="D21" s="19" t="s">
        <v>1418</v>
      </c>
      <c r="E21" s="19" t="s">
        <v>1419</v>
      </c>
      <c r="F21" s="19" t="s">
        <v>1420</v>
      </c>
      <c r="G21" s="19" t="s">
        <v>1421</v>
      </c>
      <c r="H21" s="19" t="s">
        <v>95</v>
      </c>
      <c r="I21" s="19" t="s">
        <v>1422</v>
      </c>
      <c r="J21" s="19" t="s">
        <v>1423</v>
      </c>
      <c r="K21" s="19" t="s">
        <v>1424</v>
      </c>
      <c r="L21" s="19" t="s">
        <v>95</v>
      </c>
      <c r="M21" s="19" t="s">
        <v>95</v>
      </c>
      <c r="N21" s="19" t="s">
        <v>95</v>
      </c>
      <c r="O21" s="19" t="s">
        <v>135</v>
      </c>
    </row>
    <row r="22" customFormat="false" ht="23.85" hidden="false" customHeight="false" outlineLevel="0" collapsed="false">
      <c r="A22" s="18" t="n">
        <v>21</v>
      </c>
      <c r="B22" s="28" t="s">
        <v>1323</v>
      </c>
      <c r="C22" s="19" t="s">
        <v>1249</v>
      </c>
      <c r="D22" s="19" t="s">
        <v>231</v>
      </c>
      <c r="E22" s="19" t="s">
        <v>1425</v>
      </c>
      <c r="F22" s="19" t="s">
        <v>1426</v>
      </c>
      <c r="G22" s="19" t="s">
        <v>1427</v>
      </c>
      <c r="H22" s="19" t="s">
        <v>1428</v>
      </c>
      <c r="I22" s="19" t="s">
        <v>1429</v>
      </c>
      <c r="J22" s="19" t="s">
        <v>1430</v>
      </c>
      <c r="K22" s="19" t="s">
        <v>1431</v>
      </c>
      <c r="L22" s="19" t="s">
        <v>95</v>
      </c>
      <c r="M22" s="19" t="s">
        <v>95</v>
      </c>
      <c r="N22" s="19" t="s">
        <v>1432</v>
      </c>
      <c r="O22" s="19" t="s">
        <v>628</v>
      </c>
    </row>
    <row r="23" customFormat="false" ht="23.85" hidden="false" customHeight="false" outlineLevel="0" collapsed="false">
      <c r="A23" s="18" t="n">
        <v>22</v>
      </c>
      <c r="B23" s="28" t="s">
        <v>1323</v>
      </c>
      <c r="C23" s="19" t="s">
        <v>1249</v>
      </c>
      <c r="D23" s="19" t="s">
        <v>231</v>
      </c>
      <c r="E23" s="19" t="s">
        <v>1433</v>
      </c>
      <c r="F23" s="19" t="s">
        <v>1434</v>
      </c>
      <c r="G23" s="19" t="s">
        <v>1435</v>
      </c>
      <c r="H23" s="19" t="s">
        <v>1436</v>
      </c>
      <c r="I23" s="19" t="s">
        <v>1346</v>
      </c>
      <c r="J23" s="19" t="s">
        <v>1437</v>
      </c>
      <c r="K23" s="19" t="s">
        <v>1438</v>
      </c>
      <c r="L23" s="19" t="s">
        <v>95</v>
      </c>
      <c r="M23" s="19" t="s">
        <v>1439</v>
      </c>
      <c r="N23" s="19" t="s">
        <v>1440</v>
      </c>
      <c r="O23" s="19" t="s">
        <v>1441</v>
      </c>
    </row>
    <row r="24" customFormat="false" ht="35.05" hidden="false" customHeight="false" outlineLevel="0" collapsed="false">
      <c r="A24" s="18" t="n">
        <v>23</v>
      </c>
      <c r="B24" s="30" t="s">
        <v>1442</v>
      </c>
      <c r="C24" s="19" t="s">
        <v>1406</v>
      </c>
      <c r="D24" s="19" t="s">
        <v>1443</v>
      </c>
      <c r="E24" s="19" t="s">
        <v>1444</v>
      </c>
      <c r="F24" s="19" t="s">
        <v>1445</v>
      </c>
      <c r="G24" s="19" t="s">
        <v>1446</v>
      </c>
      <c r="H24" s="19" t="s">
        <v>1447</v>
      </c>
      <c r="I24" s="19" t="s">
        <v>1448</v>
      </c>
      <c r="J24" s="19" t="s">
        <v>1449</v>
      </c>
      <c r="K24" s="19" t="s">
        <v>1450</v>
      </c>
      <c r="L24" s="19" t="s">
        <v>1451</v>
      </c>
      <c r="M24" s="19" t="s">
        <v>1452</v>
      </c>
      <c r="N24" s="19" t="s">
        <v>811</v>
      </c>
      <c r="O24" s="19" t="s">
        <v>1453</v>
      </c>
    </row>
    <row r="25" customFormat="false" ht="23.85" hidden="false" customHeight="false" outlineLevel="0" collapsed="false">
      <c r="A25" s="18" t="n">
        <v>24</v>
      </c>
      <c r="B25" s="30" t="s">
        <v>1442</v>
      </c>
      <c r="C25" s="19" t="s">
        <v>1406</v>
      </c>
      <c r="D25" s="19" t="s">
        <v>360</v>
      </c>
      <c r="E25" s="19" t="s">
        <v>1454</v>
      </c>
      <c r="F25" s="19" t="s">
        <v>1455</v>
      </c>
      <c r="G25" s="19" t="s">
        <v>1456</v>
      </c>
      <c r="H25" s="19" t="s">
        <v>434</v>
      </c>
      <c r="I25" s="19" t="s">
        <v>1457</v>
      </c>
      <c r="J25" s="19" t="s">
        <v>1458</v>
      </c>
      <c r="K25" s="19" t="s">
        <v>1459</v>
      </c>
      <c r="L25" s="19" t="s">
        <v>1460</v>
      </c>
      <c r="M25" s="19" t="s">
        <v>1461</v>
      </c>
      <c r="N25" s="19" t="s">
        <v>843</v>
      </c>
      <c r="O25" s="19" t="s">
        <v>155</v>
      </c>
    </row>
    <row r="26" customFormat="false" ht="23.85" hidden="false" customHeight="false" outlineLevel="0" collapsed="false">
      <c r="A26" s="18" t="n">
        <v>25</v>
      </c>
      <c r="B26" s="30" t="s">
        <v>1442</v>
      </c>
      <c r="C26" s="19" t="s">
        <v>1249</v>
      </c>
      <c r="D26" s="19" t="s">
        <v>360</v>
      </c>
      <c r="E26" s="19" t="s">
        <v>1462</v>
      </c>
      <c r="F26" s="19" t="s">
        <v>1463</v>
      </c>
      <c r="G26" s="19" t="s">
        <v>1464</v>
      </c>
      <c r="H26" s="19" t="s">
        <v>428</v>
      </c>
      <c r="I26" s="19" t="s">
        <v>1465</v>
      </c>
      <c r="J26" s="19" t="s">
        <v>1466</v>
      </c>
      <c r="K26" s="19" t="s">
        <v>1467</v>
      </c>
      <c r="L26" s="19" t="s">
        <v>1460</v>
      </c>
      <c r="M26" s="19" t="s">
        <v>1468</v>
      </c>
      <c r="N26" s="19" t="s">
        <v>1469</v>
      </c>
      <c r="O26" s="19" t="s">
        <v>165</v>
      </c>
    </row>
    <row r="27" customFormat="false" ht="23.85" hidden="false" customHeight="false" outlineLevel="0" collapsed="false">
      <c r="A27" s="18" t="n">
        <v>26</v>
      </c>
      <c r="B27" s="30" t="s">
        <v>1442</v>
      </c>
      <c r="C27" s="19" t="s">
        <v>1313</v>
      </c>
      <c r="D27" s="19" t="s">
        <v>1314</v>
      </c>
      <c r="E27" s="19" t="s">
        <v>1470</v>
      </c>
      <c r="F27" s="19" t="s">
        <v>1471</v>
      </c>
      <c r="G27" s="19" t="s">
        <v>1472</v>
      </c>
      <c r="H27" s="19" t="s">
        <v>95</v>
      </c>
      <c r="I27" s="19" t="s">
        <v>1473</v>
      </c>
      <c r="J27" s="19" t="s">
        <v>1474</v>
      </c>
      <c r="K27" s="19" t="s">
        <v>1475</v>
      </c>
      <c r="L27" s="19" t="s">
        <v>1321</v>
      </c>
      <c r="M27" s="19" t="s">
        <v>95</v>
      </c>
      <c r="N27" s="19" t="s">
        <v>820</v>
      </c>
      <c r="O27" s="19" t="s">
        <v>813</v>
      </c>
    </row>
    <row r="28" customFormat="false" ht="23.85" hidden="false" customHeight="false" outlineLevel="0" collapsed="false">
      <c r="A28" s="18" t="n">
        <v>27</v>
      </c>
      <c r="B28" s="30" t="s">
        <v>1442</v>
      </c>
      <c r="C28" s="19" t="s">
        <v>1313</v>
      </c>
      <c r="D28" s="19" t="s">
        <v>470</v>
      </c>
      <c r="E28" s="19" t="s">
        <v>1316</v>
      </c>
      <c r="F28" s="19" t="s">
        <v>1316</v>
      </c>
      <c r="G28" s="19" t="s">
        <v>1476</v>
      </c>
      <c r="H28" s="19" t="s">
        <v>1477</v>
      </c>
      <c r="I28" s="19" t="s">
        <v>1478</v>
      </c>
      <c r="J28" s="19" t="s">
        <v>1479</v>
      </c>
      <c r="K28" s="19" t="s">
        <v>1480</v>
      </c>
      <c r="L28" s="19" t="s">
        <v>95</v>
      </c>
      <c r="M28" s="19" t="s">
        <v>1481</v>
      </c>
      <c r="N28" s="19" t="s">
        <v>827</v>
      </c>
      <c r="O28" s="19" t="s">
        <v>822</v>
      </c>
    </row>
    <row r="29" customFormat="false" ht="35.05" hidden="false" customHeight="false" outlineLevel="0" collapsed="false">
      <c r="A29" s="18" t="n">
        <v>28</v>
      </c>
      <c r="B29" s="31" t="s">
        <v>1482</v>
      </c>
      <c r="C29" s="19" t="s">
        <v>1249</v>
      </c>
      <c r="D29" s="19" t="s">
        <v>1483</v>
      </c>
      <c r="E29" s="19" t="s">
        <v>1484</v>
      </c>
      <c r="F29" s="19" t="s">
        <v>1485</v>
      </c>
      <c r="G29" s="19" t="s">
        <v>1486</v>
      </c>
      <c r="H29" s="19" t="s">
        <v>1487</v>
      </c>
      <c r="I29" s="19" t="s">
        <v>1488</v>
      </c>
      <c r="J29" s="19" t="s">
        <v>1489</v>
      </c>
      <c r="K29" s="19" t="s">
        <v>1490</v>
      </c>
      <c r="L29" s="19" t="s">
        <v>95</v>
      </c>
      <c r="M29" s="19" t="s">
        <v>1491</v>
      </c>
      <c r="N29" s="19" t="s">
        <v>1492</v>
      </c>
      <c r="O29" s="19" t="s">
        <v>1493</v>
      </c>
    </row>
    <row r="30" customFormat="false" ht="23.85" hidden="false" customHeight="false" outlineLevel="0" collapsed="false">
      <c r="A30" s="18" t="n">
        <v>29</v>
      </c>
      <c r="B30" s="31" t="s">
        <v>1482</v>
      </c>
      <c r="C30" s="19" t="s">
        <v>1249</v>
      </c>
      <c r="D30" s="19" t="s">
        <v>1483</v>
      </c>
      <c r="E30" s="19" t="s">
        <v>1494</v>
      </c>
      <c r="F30" s="19" t="s">
        <v>1495</v>
      </c>
      <c r="G30" s="19" t="s">
        <v>1496</v>
      </c>
      <c r="H30" s="19" t="s">
        <v>1497</v>
      </c>
      <c r="I30" s="19" t="s">
        <v>1489</v>
      </c>
      <c r="J30" s="19" t="s">
        <v>1498</v>
      </c>
      <c r="K30" s="19" t="s">
        <v>1499</v>
      </c>
      <c r="L30" s="19" t="s">
        <v>95</v>
      </c>
      <c r="M30" s="19" t="s">
        <v>95</v>
      </c>
      <c r="N30" s="19" t="s">
        <v>95</v>
      </c>
      <c r="O30" s="19" t="s">
        <v>1500</v>
      </c>
    </row>
    <row r="31" customFormat="false" ht="23.85" hidden="false" customHeight="false" outlineLevel="0" collapsed="false">
      <c r="A31" s="18" t="n">
        <v>30</v>
      </c>
      <c r="B31" s="31" t="s">
        <v>1482</v>
      </c>
      <c r="C31" s="19" t="s">
        <v>1249</v>
      </c>
      <c r="D31" s="19" t="s">
        <v>763</v>
      </c>
      <c r="E31" s="19" t="s">
        <v>1501</v>
      </c>
      <c r="F31" s="19" t="s">
        <v>1502</v>
      </c>
      <c r="G31" s="19" t="s">
        <v>1503</v>
      </c>
      <c r="H31" s="19" t="s">
        <v>95</v>
      </c>
      <c r="I31" s="19" t="s">
        <v>1489</v>
      </c>
      <c r="J31" s="19" t="s">
        <v>1504</v>
      </c>
      <c r="K31" s="19" t="s">
        <v>1505</v>
      </c>
      <c r="L31" s="19" t="s">
        <v>95</v>
      </c>
      <c r="M31" s="19" t="s">
        <v>95</v>
      </c>
      <c r="N31" s="19" t="s">
        <v>769</v>
      </c>
      <c r="O31" s="19" t="s">
        <v>1506</v>
      </c>
    </row>
    <row r="32" customFormat="false" ht="35.05" hidden="false" customHeight="false" outlineLevel="0" collapsed="false">
      <c r="A32" s="18" t="n">
        <v>31</v>
      </c>
      <c r="B32" s="31" t="s">
        <v>1482</v>
      </c>
      <c r="C32" s="19" t="s">
        <v>1249</v>
      </c>
      <c r="D32" s="19" t="s">
        <v>763</v>
      </c>
      <c r="E32" s="19" t="s">
        <v>1507</v>
      </c>
      <c r="F32" s="19" t="s">
        <v>1508</v>
      </c>
      <c r="G32" s="19" t="s">
        <v>1509</v>
      </c>
      <c r="H32" s="19" t="s">
        <v>95</v>
      </c>
      <c r="I32" s="19" t="s">
        <v>1510</v>
      </c>
      <c r="J32" s="19" t="s">
        <v>1511</v>
      </c>
      <c r="K32" s="19" t="s">
        <v>1512</v>
      </c>
      <c r="L32" s="19" t="s">
        <v>95</v>
      </c>
      <c r="M32" s="19" t="s">
        <v>1513</v>
      </c>
      <c r="N32" s="19" t="s">
        <v>1514</v>
      </c>
      <c r="O32" s="19" t="s">
        <v>1515</v>
      </c>
    </row>
    <row r="33" customFormat="false" ht="23.85" hidden="false" customHeight="false" outlineLevel="0" collapsed="false">
      <c r="A33" s="18" t="n">
        <v>32</v>
      </c>
      <c r="B33" s="31" t="s">
        <v>1482</v>
      </c>
      <c r="C33" s="19" t="s">
        <v>1249</v>
      </c>
      <c r="D33" s="19" t="s">
        <v>1250</v>
      </c>
      <c r="E33" s="19" t="s">
        <v>1516</v>
      </c>
      <c r="F33" s="19" t="s">
        <v>1517</v>
      </c>
      <c r="G33" s="19" t="s">
        <v>1518</v>
      </c>
      <c r="H33" s="19" t="s">
        <v>95</v>
      </c>
      <c r="I33" s="19" t="s">
        <v>1504</v>
      </c>
      <c r="J33" s="19" t="s">
        <v>1519</v>
      </c>
      <c r="K33" s="19" t="s">
        <v>1520</v>
      </c>
      <c r="L33" s="19" t="s">
        <v>95</v>
      </c>
      <c r="M33" s="19" t="s">
        <v>95</v>
      </c>
      <c r="N33" s="19" t="s">
        <v>95</v>
      </c>
      <c r="O33" s="19" t="s">
        <v>135</v>
      </c>
    </row>
    <row r="34" customFormat="false" ht="23.85" hidden="false" customHeight="false" outlineLevel="0" collapsed="false">
      <c r="A34" s="18" t="n">
        <v>33</v>
      </c>
      <c r="B34" s="31" t="s">
        <v>1482</v>
      </c>
      <c r="C34" s="19" t="s">
        <v>1249</v>
      </c>
      <c r="D34" s="19" t="s">
        <v>231</v>
      </c>
      <c r="E34" s="19" t="s">
        <v>1521</v>
      </c>
      <c r="F34" s="19" t="s">
        <v>1522</v>
      </c>
      <c r="G34" s="19" t="s">
        <v>1523</v>
      </c>
      <c r="H34" s="19" t="s">
        <v>95</v>
      </c>
      <c r="I34" s="19" t="s">
        <v>1524</v>
      </c>
      <c r="J34" s="19" t="s">
        <v>1525</v>
      </c>
      <c r="K34" s="19" t="s">
        <v>1526</v>
      </c>
      <c r="L34" s="19" t="s">
        <v>95</v>
      </c>
      <c r="M34" s="19" t="s">
        <v>1527</v>
      </c>
      <c r="N34" s="19" t="s">
        <v>95</v>
      </c>
      <c r="O34" s="19" t="s">
        <v>1065</v>
      </c>
    </row>
    <row r="35" customFormat="false" ht="23.85" hidden="false" customHeight="false" outlineLevel="0" collapsed="false">
      <c r="A35" s="18" t="n">
        <v>34</v>
      </c>
      <c r="B35" s="31" t="s">
        <v>1482</v>
      </c>
      <c r="C35" s="19" t="s">
        <v>1249</v>
      </c>
      <c r="D35" s="19" t="s">
        <v>1528</v>
      </c>
      <c r="E35" s="19" t="s">
        <v>1529</v>
      </c>
      <c r="F35" s="19" t="s">
        <v>1530</v>
      </c>
      <c r="G35" s="19" t="s">
        <v>1531</v>
      </c>
      <c r="H35" s="19" t="s">
        <v>1532</v>
      </c>
      <c r="I35" s="19" t="s">
        <v>1533</v>
      </c>
      <c r="J35" s="19" t="s">
        <v>1534</v>
      </c>
      <c r="K35" s="19" t="s">
        <v>1535</v>
      </c>
      <c r="L35" s="19" t="s">
        <v>95</v>
      </c>
      <c r="M35" s="19" t="s">
        <v>1536</v>
      </c>
      <c r="N35" s="19" t="s">
        <v>1537</v>
      </c>
      <c r="O35" s="19" t="s">
        <v>1538</v>
      </c>
    </row>
  </sheetData>
  <autoFilter ref="A1:O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3DF5"/>
    <pageSetUpPr fitToPage="false"/>
  </sheetPr>
  <dimension ref="A1:I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34"/>
    <col collapsed="false" customWidth="true" hidden="false" outlineLevel="0" max="4" min="4" style="0" width="22"/>
    <col collapsed="false" customWidth="true" hidden="false" outlineLevel="0" max="5" min="5" style="0" width="24"/>
    <col collapsed="false" customWidth="true" hidden="false" outlineLevel="0" max="6" min="6" style="0" width="48"/>
    <col collapsed="false" customWidth="true" hidden="false" outlineLevel="0" max="7" min="7" style="0" width="54"/>
    <col collapsed="false" customWidth="true" hidden="false" outlineLevel="0" max="8" min="8" style="0" width="16"/>
    <col collapsed="false" customWidth="true" hidden="false" outlineLevel="0" max="9" min="9" style="0" width="20"/>
  </cols>
  <sheetData>
    <row r="1" customFormat="false" ht="30" hidden="false" customHeight="true" outlineLevel="0" collapsed="false">
      <c r="A1" s="17" t="s">
        <v>1539</v>
      </c>
      <c r="B1" s="17" t="s">
        <v>1237</v>
      </c>
      <c r="C1" s="17" t="s">
        <v>1540</v>
      </c>
      <c r="D1" s="17" t="s">
        <v>1541</v>
      </c>
      <c r="E1" s="17" t="s">
        <v>1542</v>
      </c>
      <c r="F1" s="17" t="s">
        <v>1543</v>
      </c>
      <c r="G1" s="17" t="s">
        <v>1544</v>
      </c>
      <c r="H1" s="17" t="s">
        <v>1545</v>
      </c>
      <c r="I1" s="17" t="s">
        <v>87</v>
      </c>
    </row>
    <row r="2" customFormat="false" ht="15" hidden="false" customHeight="false" outlineLevel="0" collapsed="false">
      <c r="A2" s="18" t="s">
        <v>1546</v>
      </c>
      <c r="B2" s="19" t="s">
        <v>456</v>
      </c>
      <c r="C2" s="19" t="s">
        <v>1547</v>
      </c>
      <c r="D2" s="18" t="s">
        <v>1020</v>
      </c>
      <c r="E2" s="19" t="s">
        <v>1548</v>
      </c>
      <c r="F2" s="19" t="s">
        <v>1549</v>
      </c>
      <c r="G2" s="19" t="s">
        <v>1550</v>
      </c>
      <c r="H2" s="19" t="s">
        <v>1551</v>
      </c>
      <c r="I2" s="19" t="s">
        <v>453</v>
      </c>
    </row>
    <row r="3" customFormat="false" ht="15" hidden="false" customHeight="false" outlineLevel="0" collapsed="false">
      <c r="A3" s="18" t="s">
        <v>1546</v>
      </c>
      <c r="B3" s="19" t="s">
        <v>456</v>
      </c>
      <c r="C3" s="19"/>
      <c r="D3" s="18" t="s">
        <v>1552</v>
      </c>
      <c r="E3" s="19" t="s">
        <v>1553</v>
      </c>
      <c r="F3" s="19" t="s">
        <v>1554</v>
      </c>
      <c r="G3" s="19" t="s">
        <v>1555</v>
      </c>
      <c r="H3" s="19" t="s">
        <v>1556</v>
      </c>
      <c r="I3" s="19" t="s">
        <v>453</v>
      </c>
    </row>
    <row r="4" customFormat="false" ht="23.85" hidden="false" customHeight="false" outlineLevel="0" collapsed="false">
      <c r="A4" s="18" t="s">
        <v>1546</v>
      </c>
      <c r="B4" s="19" t="s">
        <v>456</v>
      </c>
      <c r="C4" s="19"/>
      <c r="D4" s="18" t="s">
        <v>1557</v>
      </c>
      <c r="E4" s="19" t="s">
        <v>1558</v>
      </c>
      <c r="F4" s="19" t="s">
        <v>1559</v>
      </c>
      <c r="G4" s="19" t="s">
        <v>1560</v>
      </c>
      <c r="H4" s="19" t="s">
        <v>1561</v>
      </c>
      <c r="I4" s="19" t="s">
        <v>453</v>
      </c>
    </row>
    <row r="5" customFormat="false" ht="15" hidden="false" customHeight="false" outlineLevel="0" collapsed="false">
      <c r="A5" s="18" t="s">
        <v>1546</v>
      </c>
      <c r="B5" s="19" t="s">
        <v>456</v>
      </c>
      <c r="C5" s="19"/>
      <c r="D5" s="18" t="s">
        <v>1562</v>
      </c>
      <c r="E5" s="19" t="s">
        <v>1563</v>
      </c>
      <c r="F5" s="19" t="s">
        <v>1564</v>
      </c>
      <c r="G5" s="19" t="s">
        <v>1565</v>
      </c>
      <c r="H5" s="19" t="s">
        <v>1566</v>
      </c>
      <c r="I5" s="19" t="s">
        <v>1567</v>
      </c>
    </row>
    <row r="6" customFormat="false" ht="15" hidden="false" customHeight="false" outlineLevel="0" collapsed="false">
      <c r="A6" s="18" t="s">
        <v>1568</v>
      </c>
      <c r="B6" s="19" t="s">
        <v>1282</v>
      </c>
      <c r="C6" s="19" t="s">
        <v>1569</v>
      </c>
      <c r="D6" s="18" t="s">
        <v>1020</v>
      </c>
      <c r="E6" s="19" t="s">
        <v>1570</v>
      </c>
      <c r="F6" s="19" t="s">
        <v>1571</v>
      </c>
      <c r="G6" s="19" t="s">
        <v>1572</v>
      </c>
      <c r="H6" s="19" t="s">
        <v>314</v>
      </c>
      <c r="I6" s="19" t="s">
        <v>1003</v>
      </c>
    </row>
    <row r="7" customFormat="false" ht="23.85" hidden="false" customHeight="false" outlineLevel="0" collapsed="false">
      <c r="A7" s="18" t="s">
        <v>1573</v>
      </c>
      <c r="B7" s="19" t="s">
        <v>1289</v>
      </c>
      <c r="C7" s="19" t="s">
        <v>1574</v>
      </c>
      <c r="D7" s="18" t="s">
        <v>1020</v>
      </c>
      <c r="E7" s="19" t="s">
        <v>1575</v>
      </c>
      <c r="F7" s="19" t="s">
        <v>1576</v>
      </c>
      <c r="G7" s="19" t="s">
        <v>1577</v>
      </c>
      <c r="H7" s="19" t="s">
        <v>1578</v>
      </c>
      <c r="I7" s="19" t="s">
        <v>479</v>
      </c>
    </row>
    <row r="8" customFormat="false" ht="15" hidden="false" customHeight="false" outlineLevel="0" collapsed="false">
      <c r="A8" s="18" t="s">
        <v>1573</v>
      </c>
      <c r="B8" s="19" t="s">
        <v>1289</v>
      </c>
      <c r="C8" s="19"/>
      <c r="D8" s="18" t="s">
        <v>1579</v>
      </c>
      <c r="E8" s="19" t="s">
        <v>1580</v>
      </c>
      <c r="F8" s="19" t="s">
        <v>1581</v>
      </c>
      <c r="G8" s="19" t="s">
        <v>1582</v>
      </c>
      <c r="H8" s="19" t="s">
        <v>1578</v>
      </c>
      <c r="I8" s="19" t="s">
        <v>490</v>
      </c>
    </row>
    <row r="9" customFormat="false" ht="15" hidden="false" customHeight="false" outlineLevel="0" collapsed="false">
      <c r="A9" s="18" t="s">
        <v>1573</v>
      </c>
      <c r="B9" s="19" t="s">
        <v>1289</v>
      </c>
      <c r="C9" s="19"/>
      <c r="D9" s="18" t="s">
        <v>1583</v>
      </c>
      <c r="E9" s="19" t="s">
        <v>1584</v>
      </c>
      <c r="F9" s="19" t="s">
        <v>1585</v>
      </c>
      <c r="G9" s="19" t="s">
        <v>1586</v>
      </c>
      <c r="H9" s="19" t="s">
        <v>1566</v>
      </c>
      <c r="I9" s="19" t="s">
        <v>1587</v>
      </c>
    </row>
    <row r="10" customFormat="false" ht="35.05" hidden="false" customHeight="false" outlineLevel="0" collapsed="false">
      <c r="A10" s="18" t="s">
        <v>1588</v>
      </c>
      <c r="B10" s="19" t="s">
        <v>544</v>
      </c>
      <c r="C10" s="19" t="s">
        <v>1589</v>
      </c>
      <c r="D10" s="18" t="s">
        <v>1020</v>
      </c>
      <c r="E10" s="19" t="s">
        <v>1590</v>
      </c>
      <c r="F10" s="19" t="s">
        <v>1591</v>
      </c>
      <c r="G10" s="19" t="s">
        <v>1592</v>
      </c>
      <c r="H10" s="19" t="s">
        <v>1593</v>
      </c>
      <c r="I10" s="19" t="s">
        <v>542</v>
      </c>
    </row>
    <row r="11" customFormat="false" ht="15" hidden="false" customHeight="false" outlineLevel="0" collapsed="false">
      <c r="A11" s="18" t="s">
        <v>1588</v>
      </c>
      <c r="B11" s="19" t="s">
        <v>544</v>
      </c>
      <c r="C11" s="19"/>
      <c r="D11" s="18" t="s">
        <v>1594</v>
      </c>
      <c r="E11" s="19" t="s">
        <v>1595</v>
      </c>
      <c r="F11" s="19" t="s">
        <v>1596</v>
      </c>
      <c r="G11" s="19" t="s">
        <v>1597</v>
      </c>
      <c r="H11" s="19" t="s">
        <v>1593</v>
      </c>
      <c r="I11" s="19" t="s">
        <v>542</v>
      </c>
    </row>
    <row r="12" customFormat="false" ht="23.85" hidden="false" customHeight="false" outlineLevel="0" collapsed="false">
      <c r="A12" s="18" t="s">
        <v>1588</v>
      </c>
      <c r="B12" s="19" t="s">
        <v>544</v>
      </c>
      <c r="C12" s="19"/>
      <c r="D12" s="18" t="s">
        <v>1598</v>
      </c>
      <c r="E12" s="19" t="s">
        <v>1599</v>
      </c>
      <c r="F12" s="19" t="s">
        <v>1600</v>
      </c>
      <c r="G12" s="19" t="s">
        <v>1601</v>
      </c>
      <c r="H12" s="19" t="s">
        <v>1602</v>
      </c>
      <c r="I12" s="19" t="s">
        <v>145</v>
      </c>
    </row>
    <row r="13" customFormat="false" ht="15" hidden="false" customHeight="false" outlineLevel="0" collapsed="false">
      <c r="A13" s="18" t="s">
        <v>1588</v>
      </c>
      <c r="B13" s="19" t="s">
        <v>544</v>
      </c>
      <c r="C13" s="19"/>
      <c r="D13" s="18" t="s">
        <v>1603</v>
      </c>
      <c r="E13" s="19" t="s">
        <v>1604</v>
      </c>
      <c r="F13" s="19" t="s">
        <v>1605</v>
      </c>
      <c r="G13" s="19" t="s">
        <v>1606</v>
      </c>
      <c r="H13" s="19" t="s">
        <v>95</v>
      </c>
      <c r="I13" s="19" t="s">
        <v>1607</v>
      </c>
    </row>
    <row r="14" customFormat="false" ht="23.85" hidden="false" customHeight="false" outlineLevel="0" collapsed="false">
      <c r="A14" s="18" t="s">
        <v>1608</v>
      </c>
      <c r="B14" s="19" t="s">
        <v>1307</v>
      </c>
      <c r="C14" s="19" t="s">
        <v>1609</v>
      </c>
      <c r="D14" s="18" t="s">
        <v>1020</v>
      </c>
      <c r="E14" s="19" t="s">
        <v>1610</v>
      </c>
      <c r="F14" s="19" t="s">
        <v>1611</v>
      </c>
      <c r="G14" s="19" t="s">
        <v>1612</v>
      </c>
      <c r="H14" s="19" t="s">
        <v>1613</v>
      </c>
      <c r="I14" s="19" t="s">
        <v>1614</v>
      </c>
    </row>
    <row r="15" customFormat="false" ht="23.85" hidden="false" customHeight="false" outlineLevel="0" collapsed="false">
      <c r="A15" s="18" t="s">
        <v>1615</v>
      </c>
      <c r="B15" s="19" t="s">
        <v>1483</v>
      </c>
      <c r="C15" s="19" t="s">
        <v>1616</v>
      </c>
      <c r="D15" s="18" t="s">
        <v>1617</v>
      </c>
      <c r="E15" s="19" t="s">
        <v>1618</v>
      </c>
      <c r="F15" s="19" t="s">
        <v>1619</v>
      </c>
      <c r="G15" s="19" t="s">
        <v>1620</v>
      </c>
      <c r="H15" s="19" t="s">
        <v>1621</v>
      </c>
      <c r="I15" s="19" t="s">
        <v>174</v>
      </c>
    </row>
    <row r="16" customFormat="false" ht="23.85" hidden="false" customHeight="false" outlineLevel="0" collapsed="false">
      <c r="A16" s="18" t="s">
        <v>1615</v>
      </c>
      <c r="B16" s="19" t="s">
        <v>1483</v>
      </c>
      <c r="C16" s="19"/>
      <c r="D16" s="18" t="s">
        <v>1622</v>
      </c>
      <c r="E16" s="19" t="s">
        <v>1623</v>
      </c>
      <c r="F16" s="19" t="s">
        <v>1624</v>
      </c>
      <c r="G16" s="19" t="s">
        <v>1625</v>
      </c>
      <c r="H16" s="19" t="s">
        <v>1626</v>
      </c>
      <c r="I16" s="19" t="s">
        <v>1627</v>
      </c>
    </row>
    <row r="17" customFormat="false" ht="15" hidden="false" customHeight="false" outlineLevel="0" collapsed="false">
      <c r="A17" s="18" t="s">
        <v>1615</v>
      </c>
      <c r="B17" s="19" t="s">
        <v>1483</v>
      </c>
      <c r="C17" s="19"/>
      <c r="D17" s="18" t="s">
        <v>1628</v>
      </c>
      <c r="E17" s="19" t="s">
        <v>1629</v>
      </c>
      <c r="F17" s="19" t="s">
        <v>1630</v>
      </c>
      <c r="G17" s="19" t="s">
        <v>95</v>
      </c>
      <c r="H17" s="19" t="s">
        <v>95</v>
      </c>
      <c r="I17" s="19" t="s">
        <v>174</v>
      </c>
    </row>
    <row r="18" customFormat="false" ht="15" hidden="false" customHeight="false" outlineLevel="0" collapsed="false">
      <c r="A18" s="18" t="s">
        <v>1615</v>
      </c>
      <c r="B18" s="19" t="s">
        <v>1483</v>
      </c>
      <c r="C18" s="19"/>
      <c r="D18" s="18" t="s">
        <v>1631</v>
      </c>
      <c r="E18" s="19" t="s">
        <v>1562</v>
      </c>
      <c r="F18" s="19" t="s">
        <v>1632</v>
      </c>
      <c r="G18" s="19" t="s">
        <v>1633</v>
      </c>
      <c r="H18" s="19" t="s">
        <v>95</v>
      </c>
      <c r="I18" s="19" t="s">
        <v>779</v>
      </c>
    </row>
    <row r="19" customFormat="false" ht="23.85" hidden="false" customHeight="false" outlineLevel="0" collapsed="false">
      <c r="A19" s="18" t="s">
        <v>1634</v>
      </c>
      <c r="B19" s="19" t="s">
        <v>231</v>
      </c>
      <c r="C19" s="19" t="s">
        <v>1635</v>
      </c>
      <c r="D19" s="18" t="s">
        <v>1636</v>
      </c>
      <c r="E19" s="19" t="s">
        <v>1637</v>
      </c>
      <c r="F19" s="19" t="s">
        <v>1638</v>
      </c>
      <c r="G19" s="19" t="s">
        <v>1639</v>
      </c>
      <c r="H19" s="19" t="s">
        <v>1640</v>
      </c>
      <c r="I19" s="19" t="s">
        <v>1065</v>
      </c>
    </row>
    <row r="20" customFormat="false" ht="23.85" hidden="false" customHeight="false" outlineLevel="0" collapsed="false">
      <c r="A20" s="18" t="s">
        <v>1634</v>
      </c>
      <c r="B20" s="19" t="s">
        <v>231</v>
      </c>
      <c r="C20" s="19"/>
      <c r="D20" s="18" t="s">
        <v>1641</v>
      </c>
      <c r="E20" s="19" t="s">
        <v>1642</v>
      </c>
      <c r="F20" s="19" t="s">
        <v>1643</v>
      </c>
      <c r="G20" s="19" t="s">
        <v>1644</v>
      </c>
      <c r="H20" s="19" t="s">
        <v>244</v>
      </c>
      <c r="I20" s="19" t="s">
        <v>1645</v>
      </c>
    </row>
    <row r="21" customFormat="false" ht="15" hidden="false" customHeight="false" outlineLevel="0" collapsed="false">
      <c r="A21" s="18" t="s">
        <v>1634</v>
      </c>
      <c r="B21" s="19" t="s">
        <v>231</v>
      </c>
      <c r="C21" s="19"/>
      <c r="D21" s="18" t="s">
        <v>1646</v>
      </c>
      <c r="E21" s="19" t="s">
        <v>1647</v>
      </c>
      <c r="F21" s="19" t="s">
        <v>1648</v>
      </c>
      <c r="G21" s="19" t="s">
        <v>1649</v>
      </c>
      <c r="H21" s="19" t="s">
        <v>95</v>
      </c>
      <c r="I21" s="19" t="s">
        <v>1650</v>
      </c>
    </row>
    <row r="22" customFormat="false" ht="15" hidden="false" customHeight="false" outlineLevel="0" collapsed="false">
      <c r="A22" s="18" t="s">
        <v>1634</v>
      </c>
      <c r="B22" s="19" t="s">
        <v>231</v>
      </c>
      <c r="C22" s="19"/>
      <c r="D22" s="18" t="s">
        <v>1651</v>
      </c>
      <c r="E22" s="19" t="s">
        <v>1652</v>
      </c>
      <c r="F22" s="19" t="s">
        <v>1653</v>
      </c>
      <c r="G22" s="19" t="s">
        <v>95</v>
      </c>
      <c r="H22" s="19" t="s">
        <v>1654</v>
      </c>
      <c r="I22" s="19" t="s">
        <v>116</v>
      </c>
    </row>
    <row r="23" customFormat="false" ht="15" hidden="false" customHeight="false" outlineLevel="0" collapsed="false">
      <c r="A23" s="18" t="s">
        <v>1634</v>
      </c>
      <c r="B23" s="19" t="s">
        <v>231</v>
      </c>
      <c r="C23" s="19"/>
      <c r="D23" s="18" t="s">
        <v>1655</v>
      </c>
      <c r="E23" s="19" t="s">
        <v>1656</v>
      </c>
      <c r="F23" s="19" t="s">
        <v>1657</v>
      </c>
      <c r="G23" s="19" t="s">
        <v>1658</v>
      </c>
      <c r="H23" s="19" t="s">
        <v>95</v>
      </c>
      <c r="I23" s="19" t="s">
        <v>1659</v>
      </c>
    </row>
    <row r="24" customFormat="false" ht="15" hidden="false" customHeight="false" outlineLevel="0" collapsed="false">
      <c r="A24" s="18" t="s">
        <v>1634</v>
      </c>
      <c r="B24" s="19" t="s">
        <v>231</v>
      </c>
      <c r="C24" s="19"/>
      <c r="D24" s="18" t="s">
        <v>1660</v>
      </c>
      <c r="E24" s="19" t="s">
        <v>1661</v>
      </c>
      <c r="F24" s="19" t="s">
        <v>1662</v>
      </c>
      <c r="G24" s="19" t="s">
        <v>1663</v>
      </c>
      <c r="H24" s="19" t="s">
        <v>95</v>
      </c>
      <c r="I24" s="19" t="s">
        <v>116</v>
      </c>
    </row>
    <row r="25" customFormat="false" ht="15" hidden="false" customHeight="false" outlineLevel="0" collapsed="false">
      <c r="A25" s="18" t="s">
        <v>1634</v>
      </c>
      <c r="B25" s="19" t="s">
        <v>231</v>
      </c>
      <c r="C25" s="19"/>
      <c r="D25" s="18" t="s">
        <v>1664</v>
      </c>
      <c r="E25" s="19" t="s">
        <v>1665</v>
      </c>
      <c r="F25" s="19" t="s">
        <v>1666</v>
      </c>
      <c r="G25" s="19" t="s">
        <v>1667</v>
      </c>
      <c r="H25" s="19" t="s">
        <v>95</v>
      </c>
      <c r="I25" s="19" t="s">
        <v>1043</v>
      </c>
    </row>
    <row r="26" customFormat="false" ht="15" hidden="false" customHeight="false" outlineLevel="0" collapsed="false">
      <c r="A26" s="18" t="s">
        <v>1634</v>
      </c>
      <c r="B26" s="19" t="s">
        <v>231</v>
      </c>
      <c r="C26" s="19"/>
      <c r="D26" s="18" t="s">
        <v>1668</v>
      </c>
      <c r="E26" s="19" t="s">
        <v>1669</v>
      </c>
      <c r="F26" s="19" t="s">
        <v>1670</v>
      </c>
      <c r="G26" s="19" t="s">
        <v>1671</v>
      </c>
      <c r="H26" s="19" t="s">
        <v>1672</v>
      </c>
      <c r="I26" s="19" t="s">
        <v>681</v>
      </c>
    </row>
    <row r="27" customFormat="false" ht="15" hidden="false" customHeight="false" outlineLevel="0" collapsed="false">
      <c r="A27" s="18" t="s">
        <v>1673</v>
      </c>
      <c r="B27" s="19" t="s">
        <v>1674</v>
      </c>
      <c r="C27" s="19" t="s">
        <v>1675</v>
      </c>
      <c r="D27" s="18" t="s">
        <v>1020</v>
      </c>
      <c r="E27" s="19" t="s">
        <v>1676</v>
      </c>
      <c r="F27" s="19" t="s">
        <v>1677</v>
      </c>
      <c r="G27" s="19" t="s">
        <v>95</v>
      </c>
      <c r="H27" s="19" t="s">
        <v>95</v>
      </c>
      <c r="I27" s="19" t="s">
        <v>646</v>
      </c>
    </row>
    <row r="28" customFormat="false" ht="15" hidden="false" customHeight="false" outlineLevel="0" collapsed="false">
      <c r="A28" s="18" t="s">
        <v>1673</v>
      </c>
      <c r="B28" s="19" t="s">
        <v>1674</v>
      </c>
      <c r="C28" s="19"/>
      <c r="D28" s="18" t="s">
        <v>1678</v>
      </c>
      <c r="E28" s="19" t="s">
        <v>1679</v>
      </c>
      <c r="F28" s="19" t="s">
        <v>1680</v>
      </c>
      <c r="G28" s="19" t="s">
        <v>1681</v>
      </c>
      <c r="H28" s="19" t="s">
        <v>1682</v>
      </c>
      <c r="I28" s="19" t="s">
        <v>112</v>
      </c>
    </row>
    <row r="29" customFormat="false" ht="15" hidden="false" customHeight="false" outlineLevel="0" collapsed="false">
      <c r="A29" s="18" t="s">
        <v>1673</v>
      </c>
      <c r="B29" s="19" t="s">
        <v>1674</v>
      </c>
      <c r="C29" s="19"/>
      <c r="D29" s="18" t="s">
        <v>1557</v>
      </c>
      <c r="E29" s="19" t="s">
        <v>1683</v>
      </c>
      <c r="F29" s="19" t="s">
        <v>1684</v>
      </c>
      <c r="G29" s="19" t="s">
        <v>1685</v>
      </c>
      <c r="H29" s="19" t="s">
        <v>1686</v>
      </c>
      <c r="I29" s="19" t="s">
        <v>646</v>
      </c>
    </row>
    <row r="30" customFormat="false" ht="23.85" hidden="false" customHeight="false" outlineLevel="0" collapsed="false">
      <c r="A30" s="18" t="s">
        <v>1687</v>
      </c>
      <c r="B30" s="19" t="s">
        <v>1688</v>
      </c>
      <c r="C30" s="19" t="s">
        <v>1689</v>
      </c>
      <c r="D30" s="18" t="s">
        <v>1020</v>
      </c>
      <c r="E30" s="19" t="s">
        <v>1690</v>
      </c>
      <c r="F30" s="19" t="s">
        <v>1691</v>
      </c>
      <c r="G30" s="19" t="s">
        <v>1692</v>
      </c>
      <c r="H30" s="19" t="s">
        <v>310</v>
      </c>
      <c r="I30" s="19" t="s">
        <v>1693</v>
      </c>
    </row>
    <row r="31" customFormat="false" ht="15" hidden="false" customHeight="false" outlineLevel="0" collapsed="false">
      <c r="A31" s="18" t="s">
        <v>1687</v>
      </c>
      <c r="B31" s="19" t="s">
        <v>1688</v>
      </c>
      <c r="C31" s="19"/>
      <c r="D31" s="18" t="s">
        <v>1694</v>
      </c>
      <c r="E31" s="19" t="s">
        <v>1695</v>
      </c>
      <c r="F31" s="19" t="s">
        <v>1696</v>
      </c>
      <c r="G31" s="19" t="s">
        <v>1697</v>
      </c>
      <c r="H31" s="19" t="s">
        <v>310</v>
      </c>
      <c r="I31" s="19" t="s">
        <v>620</v>
      </c>
    </row>
    <row r="32" customFormat="false" ht="15" hidden="false" customHeight="false" outlineLevel="0" collapsed="false">
      <c r="A32" s="18" t="s">
        <v>1687</v>
      </c>
      <c r="B32" s="19" t="s">
        <v>1688</v>
      </c>
      <c r="C32" s="19"/>
      <c r="D32" s="18" t="s">
        <v>1698</v>
      </c>
      <c r="E32" s="19" t="s">
        <v>1699</v>
      </c>
      <c r="F32" s="19" t="s">
        <v>1700</v>
      </c>
      <c r="G32" s="19" t="s">
        <v>1701</v>
      </c>
      <c r="H32" s="19" t="s">
        <v>95</v>
      </c>
      <c r="I32" s="19" t="s">
        <v>1702</v>
      </c>
    </row>
    <row r="33" customFormat="false" ht="15" hidden="false" customHeight="false" outlineLevel="0" collapsed="false">
      <c r="A33" s="18" t="s">
        <v>1687</v>
      </c>
      <c r="B33" s="19" t="s">
        <v>1688</v>
      </c>
      <c r="C33" s="19"/>
      <c r="D33" s="18" t="s">
        <v>1703</v>
      </c>
      <c r="E33" s="19" t="s">
        <v>1704</v>
      </c>
      <c r="F33" s="19" t="s">
        <v>1705</v>
      </c>
      <c r="G33" s="19" t="s">
        <v>1706</v>
      </c>
      <c r="H33" s="19" t="s">
        <v>95</v>
      </c>
      <c r="I33" s="19" t="s">
        <v>739</v>
      </c>
    </row>
    <row r="34" customFormat="false" ht="23.85" hidden="false" customHeight="false" outlineLevel="0" collapsed="false">
      <c r="A34" s="18" t="s">
        <v>1707</v>
      </c>
      <c r="B34" s="19" t="s">
        <v>1708</v>
      </c>
      <c r="C34" s="19" t="s">
        <v>1709</v>
      </c>
      <c r="D34" s="18" t="s">
        <v>1020</v>
      </c>
      <c r="E34" s="19" t="s">
        <v>1710</v>
      </c>
      <c r="F34" s="19" t="s">
        <v>1711</v>
      </c>
      <c r="G34" s="19" t="s">
        <v>1712</v>
      </c>
      <c r="H34" s="19" t="s">
        <v>314</v>
      </c>
      <c r="I34" s="19" t="s">
        <v>1713</v>
      </c>
    </row>
    <row r="35" customFormat="false" ht="15" hidden="false" customHeight="false" outlineLevel="0" collapsed="false">
      <c r="A35" s="18" t="s">
        <v>1714</v>
      </c>
      <c r="B35" s="19" t="s">
        <v>324</v>
      </c>
      <c r="C35" s="19" t="s">
        <v>1715</v>
      </c>
      <c r="D35" s="18" t="s">
        <v>1020</v>
      </c>
      <c r="E35" s="19" t="s">
        <v>1716</v>
      </c>
      <c r="F35" s="19" t="s">
        <v>1717</v>
      </c>
      <c r="G35" s="19" t="s">
        <v>1718</v>
      </c>
      <c r="H35" s="19" t="s">
        <v>1719</v>
      </c>
      <c r="I35" s="19" t="s">
        <v>713</v>
      </c>
    </row>
    <row r="36" customFormat="false" ht="23.85" hidden="false" customHeight="false" outlineLevel="0" collapsed="false">
      <c r="A36" s="18" t="s">
        <v>1720</v>
      </c>
      <c r="B36" s="19" t="s">
        <v>763</v>
      </c>
      <c r="C36" s="19" t="s">
        <v>1721</v>
      </c>
      <c r="D36" s="18" t="s">
        <v>1020</v>
      </c>
      <c r="E36" s="19" t="s">
        <v>1722</v>
      </c>
      <c r="F36" s="19" t="s">
        <v>1723</v>
      </c>
      <c r="G36" s="19" t="s">
        <v>1724</v>
      </c>
      <c r="H36" s="19" t="s">
        <v>1725</v>
      </c>
      <c r="I36" s="19" t="s">
        <v>1506</v>
      </c>
    </row>
    <row r="37" customFormat="false" ht="23.85" hidden="false" customHeight="false" outlineLevel="0" collapsed="false">
      <c r="A37" s="18" t="s">
        <v>1720</v>
      </c>
      <c r="B37" s="19" t="s">
        <v>763</v>
      </c>
      <c r="C37" s="19"/>
      <c r="D37" s="18" t="s">
        <v>1726</v>
      </c>
      <c r="E37" s="19" t="s">
        <v>1727</v>
      </c>
      <c r="F37" s="19" t="s">
        <v>1728</v>
      </c>
      <c r="G37" s="19" t="s">
        <v>1729</v>
      </c>
      <c r="H37" s="19" t="s">
        <v>95</v>
      </c>
      <c r="I37" s="19" t="s">
        <v>1730</v>
      </c>
    </row>
    <row r="38" customFormat="false" ht="23.85" hidden="false" customHeight="false" outlineLevel="0" collapsed="false">
      <c r="A38" s="18" t="s">
        <v>1731</v>
      </c>
      <c r="B38" s="19" t="s">
        <v>360</v>
      </c>
      <c r="C38" s="19" t="s">
        <v>1732</v>
      </c>
      <c r="D38" s="18" t="s">
        <v>1733</v>
      </c>
      <c r="E38" s="19" t="s">
        <v>1734</v>
      </c>
      <c r="F38" s="19" t="s">
        <v>1735</v>
      </c>
      <c r="G38" s="19" t="s">
        <v>1736</v>
      </c>
      <c r="H38" s="19" t="s">
        <v>357</v>
      </c>
      <c r="I38" s="19" t="s">
        <v>150</v>
      </c>
    </row>
    <row r="39" customFormat="false" ht="15" hidden="false" customHeight="false" outlineLevel="0" collapsed="false">
      <c r="A39" s="18" t="s">
        <v>1731</v>
      </c>
      <c r="B39" s="19" t="s">
        <v>360</v>
      </c>
      <c r="C39" s="19"/>
      <c r="D39" s="18" t="s">
        <v>1737</v>
      </c>
      <c r="E39" s="19" t="s">
        <v>1738</v>
      </c>
      <c r="F39" s="19" t="s">
        <v>1739</v>
      </c>
      <c r="G39" s="19" t="s">
        <v>1740</v>
      </c>
      <c r="H39" s="19" t="s">
        <v>357</v>
      </c>
      <c r="I39" s="19" t="s">
        <v>829</v>
      </c>
    </row>
    <row r="40" customFormat="false" ht="15" hidden="false" customHeight="false" outlineLevel="0" collapsed="false">
      <c r="A40" s="18" t="s">
        <v>1741</v>
      </c>
      <c r="B40" s="19" t="s">
        <v>1742</v>
      </c>
      <c r="C40" s="19" t="s">
        <v>1743</v>
      </c>
      <c r="D40" s="18" t="s">
        <v>1020</v>
      </c>
      <c r="E40" s="19" t="s">
        <v>1744</v>
      </c>
      <c r="F40" s="19" t="s">
        <v>1745</v>
      </c>
      <c r="G40" s="19" t="s">
        <v>1746</v>
      </c>
      <c r="H40" s="19" t="s">
        <v>95</v>
      </c>
      <c r="I40" s="19" t="s">
        <v>1747</v>
      </c>
    </row>
    <row r="41" customFormat="false" ht="15" hidden="false" customHeight="false" outlineLevel="0" collapsed="false">
      <c r="A41" s="18" t="s">
        <v>1741</v>
      </c>
      <c r="B41" s="19" t="s">
        <v>1742</v>
      </c>
      <c r="C41" s="19"/>
      <c r="D41" s="18" t="s">
        <v>1748</v>
      </c>
      <c r="E41" s="19" t="s">
        <v>1749</v>
      </c>
      <c r="F41" s="19" t="s">
        <v>1750</v>
      </c>
      <c r="G41" s="19" t="s">
        <v>1751</v>
      </c>
      <c r="H41" s="19" t="s">
        <v>1752</v>
      </c>
      <c r="I41" s="19" t="s">
        <v>524</v>
      </c>
    </row>
    <row r="42" customFormat="false" ht="23.85" hidden="false" customHeight="false" outlineLevel="0" collapsed="false">
      <c r="A42" s="18" t="s">
        <v>1753</v>
      </c>
      <c r="B42" s="19" t="s">
        <v>1754</v>
      </c>
      <c r="C42" s="19" t="s">
        <v>1755</v>
      </c>
      <c r="D42" s="18" t="s">
        <v>1020</v>
      </c>
      <c r="E42" s="19" t="s">
        <v>1756</v>
      </c>
      <c r="F42" s="19" t="s">
        <v>1757</v>
      </c>
      <c r="G42" s="19" t="s">
        <v>1758</v>
      </c>
      <c r="H42" s="19" t="s">
        <v>1593</v>
      </c>
      <c r="I42" s="19" t="s">
        <v>1759</v>
      </c>
    </row>
    <row r="43" customFormat="false" ht="23.85" hidden="false" customHeight="false" outlineLevel="0" collapsed="false">
      <c r="A43" s="18" t="s">
        <v>1615</v>
      </c>
      <c r="B43" s="19" t="s">
        <v>1483</v>
      </c>
      <c r="C43" s="19"/>
      <c r="D43" s="18" t="s">
        <v>1760</v>
      </c>
      <c r="E43" s="19" t="s">
        <v>1761</v>
      </c>
      <c r="F43" s="19" t="s">
        <v>1762</v>
      </c>
      <c r="G43" s="19" t="s">
        <v>1763</v>
      </c>
      <c r="H43" s="19" t="s">
        <v>1626</v>
      </c>
      <c r="I43" s="19" t="s">
        <v>170</v>
      </c>
    </row>
    <row r="44" customFormat="false" ht="23.85" hidden="false" customHeight="false" outlineLevel="0" collapsed="false">
      <c r="A44" s="18" t="s">
        <v>1634</v>
      </c>
      <c r="B44" s="19" t="s">
        <v>231</v>
      </c>
      <c r="C44" s="19"/>
      <c r="D44" s="18" t="s">
        <v>1764</v>
      </c>
      <c r="E44" s="19" t="s">
        <v>1647</v>
      </c>
      <c r="F44" s="19" t="s">
        <v>1765</v>
      </c>
      <c r="G44" s="19" t="s">
        <v>1766</v>
      </c>
      <c r="H44" s="19" t="s">
        <v>244</v>
      </c>
      <c r="I44" s="19" t="s">
        <v>126</v>
      </c>
    </row>
    <row r="45" customFormat="false" ht="23.85" hidden="false" customHeight="false" outlineLevel="0" collapsed="false">
      <c r="A45" s="18" t="s">
        <v>1687</v>
      </c>
      <c r="B45" s="19" t="s">
        <v>1688</v>
      </c>
      <c r="C45" s="19"/>
      <c r="D45" s="18" t="s">
        <v>1767</v>
      </c>
      <c r="E45" s="19" t="s">
        <v>1768</v>
      </c>
      <c r="F45" s="19" t="s">
        <v>1769</v>
      </c>
      <c r="G45" s="19" t="s">
        <v>1770</v>
      </c>
      <c r="H45" s="19" t="s">
        <v>310</v>
      </c>
      <c r="I45" s="19" t="s">
        <v>126</v>
      </c>
    </row>
    <row r="46" customFormat="false" ht="15" hidden="false" customHeight="false" outlineLevel="0" collapsed="false">
      <c r="A46" s="18" t="s">
        <v>1731</v>
      </c>
      <c r="B46" s="19" t="s">
        <v>360</v>
      </c>
      <c r="C46" s="19"/>
      <c r="D46" s="18" t="s">
        <v>1771</v>
      </c>
      <c r="E46" s="19" t="s">
        <v>1772</v>
      </c>
      <c r="F46" s="19" t="s">
        <v>1773</v>
      </c>
      <c r="G46" s="19" t="s">
        <v>1774</v>
      </c>
      <c r="H46" s="19" t="s">
        <v>1775</v>
      </c>
      <c r="I46" s="19" t="s">
        <v>155</v>
      </c>
    </row>
    <row r="47" customFormat="false" ht="15" hidden="false" customHeight="false" outlineLevel="0" collapsed="false">
      <c r="A47" s="18" t="s">
        <v>1731</v>
      </c>
      <c r="B47" s="19" t="s">
        <v>360</v>
      </c>
      <c r="C47" s="19"/>
      <c r="D47" s="18" t="s">
        <v>1776</v>
      </c>
      <c r="E47" s="19" t="s">
        <v>1777</v>
      </c>
      <c r="F47" s="19" t="s">
        <v>1778</v>
      </c>
      <c r="G47" s="19" t="s">
        <v>1779</v>
      </c>
      <c r="H47" s="19" t="s">
        <v>1780</v>
      </c>
      <c r="I47" s="19" t="s">
        <v>165</v>
      </c>
    </row>
    <row r="48" customFormat="false" ht="23.85" hidden="false" customHeight="false" outlineLevel="0" collapsed="false">
      <c r="A48" s="18" t="s">
        <v>1731</v>
      </c>
      <c r="B48" s="19" t="s">
        <v>360</v>
      </c>
      <c r="C48" s="19"/>
      <c r="D48" s="18" t="s">
        <v>1781</v>
      </c>
      <c r="E48" s="19" t="s">
        <v>1782</v>
      </c>
      <c r="F48" s="19" t="s">
        <v>1783</v>
      </c>
      <c r="G48" s="19" t="s">
        <v>1784</v>
      </c>
      <c r="H48" s="19" t="s">
        <v>1785</v>
      </c>
      <c r="I48" s="19" t="s">
        <v>150</v>
      </c>
    </row>
  </sheetData>
  <autoFilter ref="A1:I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3DF5"/>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4"/>
    <col collapsed="false" customWidth="true" hidden="false" outlineLevel="0" max="4" min="4" style="0" width="30"/>
    <col collapsed="false" customWidth="true" hidden="false" outlineLevel="0" max="5" min="5" style="0" width="28"/>
    <col collapsed="false" customWidth="true" hidden="false" outlineLevel="0" max="6" min="6" style="0" width="46"/>
    <col collapsed="false" customWidth="true" hidden="false" outlineLevel="0" max="7" min="7" style="0" width="18"/>
    <col collapsed="false" customWidth="true" hidden="false" outlineLevel="0" max="8" min="8" style="0" width="34"/>
    <col collapsed="false" customWidth="true" hidden="false" outlineLevel="0" max="9" min="9" style="0" width="52"/>
    <col collapsed="false" customWidth="true" hidden="false" outlineLevel="0" max="10" min="10" style="0" width="10"/>
  </cols>
  <sheetData>
    <row r="1" customFormat="false" ht="30" hidden="false" customHeight="true" outlineLevel="0" collapsed="false">
      <c r="A1" s="17" t="s">
        <v>438</v>
      </c>
      <c r="B1" s="17" t="s">
        <v>1542</v>
      </c>
      <c r="C1" s="17" t="s">
        <v>1786</v>
      </c>
      <c r="D1" s="17" t="s">
        <v>1787</v>
      </c>
      <c r="E1" s="17" t="s">
        <v>1788</v>
      </c>
      <c r="F1" s="17" t="s">
        <v>1789</v>
      </c>
      <c r="G1" s="17" t="s">
        <v>1790</v>
      </c>
      <c r="H1" s="17" t="s">
        <v>1791</v>
      </c>
      <c r="I1" s="17" t="s">
        <v>1792</v>
      </c>
      <c r="J1" s="17" t="s">
        <v>1793</v>
      </c>
    </row>
    <row r="2" customFormat="false" ht="23.85" hidden="false" customHeight="false" outlineLevel="0" collapsed="false">
      <c r="A2" s="18" t="s">
        <v>1794</v>
      </c>
      <c r="B2" s="19" t="s">
        <v>1795</v>
      </c>
      <c r="C2" s="19" t="s">
        <v>1321</v>
      </c>
      <c r="D2" s="19" t="s">
        <v>1796</v>
      </c>
      <c r="E2" s="19" t="s">
        <v>1797</v>
      </c>
      <c r="F2" s="19" t="s">
        <v>1798</v>
      </c>
      <c r="G2" s="19" t="s">
        <v>231</v>
      </c>
      <c r="H2" s="19" t="s">
        <v>1799</v>
      </c>
      <c r="I2" s="19" t="s">
        <v>1800</v>
      </c>
      <c r="J2" s="19" t="s">
        <v>845</v>
      </c>
    </row>
    <row r="3" customFormat="false" ht="15" hidden="false" customHeight="false" outlineLevel="0" collapsed="false">
      <c r="A3" s="18" t="s">
        <v>1801</v>
      </c>
      <c r="B3" s="19" t="s">
        <v>1652</v>
      </c>
      <c r="C3" s="19" t="s">
        <v>1321</v>
      </c>
      <c r="D3" s="19" t="s">
        <v>1802</v>
      </c>
      <c r="E3" s="19" t="s">
        <v>848</v>
      </c>
      <c r="F3" s="19" t="s">
        <v>1803</v>
      </c>
      <c r="G3" s="19" t="s">
        <v>231</v>
      </c>
      <c r="H3" s="19" t="s">
        <v>1804</v>
      </c>
      <c r="I3" s="19" t="s">
        <v>1805</v>
      </c>
      <c r="J3" s="19" t="s">
        <v>845</v>
      </c>
    </row>
    <row r="4" customFormat="false" ht="23.85" hidden="false" customHeight="false" outlineLevel="0" collapsed="false">
      <c r="A4" s="18" t="s">
        <v>1806</v>
      </c>
      <c r="B4" s="19" t="s">
        <v>1807</v>
      </c>
      <c r="C4" s="19" t="s">
        <v>1321</v>
      </c>
      <c r="D4" s="19" t="s">
        <v>1808</v>
      </c>
      <c r="E4" s="19" t="s">
        <v>857</v>
      </c>
      <c r="F4" s="19" t="s">
        <v>1809</v>
      </c>
      <c r="G4" s="19" t="s">
        <v>1708</v>
      </c>
      <c r="H4" s="19" t="s">
        <v>1810</v>
      </c>
      <c r="I4" s="19" t="s">
        <v>1811</v>
      </c>
      <c r="J4" s="19" t="s">
        <v>855</v>
      </c>
    </row>
    <row r="5" customFormat="false" ht="23.85" hidden="false" customHeight="false" outlineLevel="0" collapsed="false">
      <c r="A5" s="18" t="s">
        <v>1812</v>
      </c>
      <c r="B5" s="19" t="s">
        <v>1813</v>
      </c>
      <c r="C5" s="19" t="s">
        <v>1321</v>
      </c>
      <c r="D5" s="19" t="s">
        <v>1814</v>
      </c>
      <c r="E5" s="19" t="s">
        <v>864</v>
      </c>
      <c r="F5" s="19" t="s">
        <v>1815</v>
      </c>
      <c r="G5" s="19" t="s">
        <v>324</v>
      </c>
      <c r="H5" s="19" t="s">
        <v>1810</v>
      </c>
      <c r="I5" s="19" t="s">
        <v>1816</v>
      </c>
      <c r="J5" s="19" t="s">
        <v>862</v>
      </c>
    </row>
    <row r="6" customFormat="false" ht="23.85" hidden="false" customHeight="false" outlineLevel="0" collapsed="false">
      <c r="A6" s="18" t="s">
        <v>1817</v>
      </c>
      <c r="B6" s="19" t="s">
        <v>360</v>
      </c>
      <c r="C6" s="19" t="s">
        <v>1321</v>
      </c>
      <c r="D6" s="19" t="s">
        <v>1818</v>
      </c>
      <c r="E6" s="19" t="s">
        <v>1819</v>
      </c>
      <c r="F6" s="19" t="s">
        <v>1820</v>
      </c>
      <c r="G6" s="19" t="s">
        <v>360</v>
      </c>
      <c r="H6" s="19" t="s">
        <v>1821</v>
      </c>
      <c r="I6" s="19" t="s">
        <v>1822</v>
      </c>
      <c r="J6" s="19" t="s">
        <v>869</v>
      </c>
    </row>
    <row r="7" customFormat="false" ht="23.85" hidden="false" customHeight="false" outlineLevel="0" collapsed="false">
      <c r="A7" s="18" t="s">
        <v>1823</v>
      </c>
      <c r="B7" s="19" t="s">
        <v>1824</v>
      </c>
      <c r="C7" s="19" t="s">
        <v>1321</v>
      </c>
      <c r="D7" s="19" t="s">
        <v>1825</v>
      </c>
      <c r="E7" s="19" t="s">
        <v>815</v>
      </c>
      <c r="F7" s="19" t="s">
        <v>1826</v>
      </c>
      <c r="G7" s="19" t="s">
        <v>360</v>
      </c>
      <c r="H7" s="19" t="s">
        <v>1827</v>
      </c>
      <c r="I7" s="19" t="s">
        <v>1828</v>
      </c>
      <c r="J7" s="19" t="s">
        <v>813</v>
      </c>
    </row>
    <row r="8" customFormat="false" ht="23.85" hidden="false" customHeight="false" outlineLevel="0" collapsed="false">
      <c r="A8" s="18" t="s">
        <v>1829</v>
      </c>
      <c r="B8" s="19" t="s">
        <v>1830</v>
      </c>
      <c r="C8" s="19" t="s">
        <v>1831</v>
      </c>
      <c r="D8" s="19" t="s">
        <v>1832</v>
      </c>
      <c r="E8" s="19" t="s">
        <v>1833</v>
      </c>
      <c r="F8" s="19" t="s">
        <v>1834</v>
      </c>
      <c r="G8" s="19" t="s">
        <v>231</v>
      </c>
      <c r="H8" s="19" t="s">
        <v>1835</v>
      </c>
      <c r="I8" s="19" t="s">
        <v>1836</v>
      </c>
      <c r="J8" s="19" t="s">
        <v>681</v>
      </c>
    </row>
    <row r="9" customFormat="false" ht="35.05" hidden="false" customHeight="false" outlineLevel="0" collapsed="false">
      <c r="A9" s="18" t="s">
        <v>1837</v>
      </c>
      <c r="B9" s="19" t="s">
        <v>1838</v>
      </c>
      <c r="C9" s="19" t="s">
        <v>1839</v>
      </c>
      <c r="D9" s="19" t="s">
        <v>1840</v>
      </c>
      <c r="E9" s="19" t="s">
        <v>1841</v>
      </c>
      <c r="F9" s="19" t="s">
        <v>1842</v>
      </c>
      <c r="G9" s="19" t="s">
        <v>334</v>
      </c>
      <c r="H9" s="19" t="s">
        <v>1835</v>
      </c>
      <c r="I9" s="19" t="s">
        <v>1843</v>
      </c>
      <c r="J9" s="19" t="s">
        <v>170</v>
      </c>
    </row>
  </sheetData>
  <autoFilter ref="A1:J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6B37"/>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8"/>
    <col collapsed="false" customWidth="true" hidden="false" outlineLevel="0" max="3" min="3" style="0" width="46"/>
    <col collapsed="false" customWidth="true" hidden="false" outlineLevel="0" max="4" min="4" style="0" width="22"/>
    <col collapsed="false" customWidth="true" hidden="false" outlineLevel="0" max="5" min="5" style="0" width="52"/>
    <col collapsed="false" customWidth="true" hidden="false" outlineLevel="0" max="7" min="6" style="0" width="22"/>
  </cols>
  <sheetData>
    <row r="1" customFormat="false" ht="30" hidden="false" customHeight="true" outlineLevel="0" collapsed="false">
      <c r="A1" s="17" t="s">
        <v>1844</v>
      </c>
      <c r="B1" s="17" t="s">
        <v>1845</v>
      </c>
      <c r="C1" s="17" t="s">
        <v>1846</v>
      </c>
      <c r="D1" s="17" t="s">
        <v>1847</v>
      </c>
      <c r="E1" s="17" t="s">
        <v>1848</v>
      </c>
      <c r="F1" s="17" t="s">
        <v>1849</v>
      </c>
      <c r="G1" s="17" t="s">
        <v>87</v>
      </c>
    </row>
    <row r="2" customFormat="false" ht="15" hidden="false" customHeight="false" outlineLevel="0" collapsed="false">
      <c r="A2" s="18" t="s">
        <v>1001</v>
      </c>
      <c r="B2" s="19" t="s">
        <v>1850</v>
      </c>
      <c r="C2" s="19" t="s">
        <v>1851</v>
      </c>
      <c r="D2" s="19" t="s">
        <v>1852</v>
      </c>
      <c r="E2" s="19" t="s">
        <v>1853</v>
      </c>
      <c r="F2" s="19" t="s">
        <v>963</v>
      </c>
      <c r="G2" s="19" t="s">
        <v>1854</v>
      </c>
    </row>
    <row r="3" customFormat="false" ht="15" hidden="false" customHeight="false" outlineLevel="0" collapsed="false">
      <c r="A3" s="18" t="s">
        <v>1855</v>
      </c>
      <c r="B3" s="19" t="s">
        <v>1856</v>
      </c>
      <c r="C3" s="19" t="s">
        <v>1857</v>
      </c>
      <c r="D3" s="19" t="s">
        <v>1858</v>
      </c>
      <c r="E3" s="19" t="s">
        <v>1859</v>
      </c>
      <c r="F3" s="19" t="s">
        <v>963</v>
      </c>
      <c r="G3" s="19" t="s">
        <v>453</v>
      </c>
    </row>
    <row r="4" customFormat="false" ht="15" hidden="false" customHeight="false" outlineLevel="0" collapsed="false">
      <c r="A4" s="18" t="s">
        <v>1860</v>
      </c>
      <c r="B4" s="19" t="s">
        <v>1861</v>
      </c>
      <c r="C4" s="19" t="s">
        <v>1862</v>
      </c>
      <c r="D4" s="19" t="s">
        <v>1858</v>
      </c>
      <c r="E4" s="19" t="s">
        <v>1859</v>
      </c>
      <c r="F4" s="19" t="s">
        <v>963</v>
      </c>
      <c r="G4" s="19" t="s">
        <v>453</v>
      </c>
    </row>
    <row r="5" customFormat="false" ht="15" hidden="false" customHeight="false" outlineLevel="0" collapsed="false">
      <c r="A5" s="18" t="s">
        <v>1012</v>
      </c>
      <c r="B5" s="19" t="s">
        <v>1863</v>
      </c>
      <c r="C5" s="19" t="s">
        <v>1864</v>
      </c>
      <c r="D5" s="19" t="s">
        <v>1858</v>
      </c>
      <c r="E5" s="19" t="s">
        <v>1865</v>
      </c>
      <c r="F5" s="19" t="s">
        <v>963</v>
      </c>
      <c r="G5" s="19" t="s">
        <v>1003</v>
      </c>
    </row>
    <row r="6" customFormat="false" ht="15" hidden="false" customHeight="false" outlineLevel="0" collapsed="false">
      <c r="A6" s="18" t="s">
        <v>488</v>
      </c>
      <c r="B6" s="19" t="s">
        <v>1866</v>
      </c>
      <c r="C6" s="19" t="s">
        <v>1867</v>
      </c>
      <c r="D6" s="19" t="s">
        <v>1868</v>
      </c>
      <c r="E6" s="19" t="s">
        <v>1869</v>
      </c>
      <c r="F6" s="19" t="s">
        <v>963</v>
      </c>
      <c r="G6" s="19" t="s">
        <v>1297</v>
      </c>
    </row>
    <row r="7" customFormat="false" ht="23.85" hidden="false" customHeight="false" outlineLevel="0" collapsed="false">
      <c r="A7" s="18" t="s">
        <v>551</v>
      </c>
      <c r="B7" s="19" t="s">
        <v>1870</v>
      </c>
      <c r="C7" s="19" t="s">
        <v>1871</v>
      </c>
      <c r="D7" s="19" t="s">
        <v>1872</v>
      </c>
      <c r="E7" s="19" t="s">
        <v>1873</v>
      </c>
      <c r="F7" s="19" t="s">
        <v>963</v>
      </c>
      <c r="G7" s="19" t="s">
        <v>542</v>
      </c>
    </row>
    <row r="8" customFormat="false" ht="15" hidden="false" customHeight="false" outlineLevel="0" collapsed="false">
      <c r="A8" s="18" t="s">
        <v>559</v>
      </c>
      <c r="B8" s="19" t="s">
        <v>1874</v>
      </c>
      <c r="C8" s="19" t="s">
        <v>1875</v>
      </c>
      <c r="D8" s="19" t="s">
        <v>1872</v>
      </c>
      <c r="E8" s="19" t="s">
        <v>1876</v>
      </c>
      <c r="F8" s="19" t="s">
        <v>963</v>
      </c>
      <c r="G8" s="19" t="s">
        <v>145</v>
      </c>
    </row>
    <row r="9" customFormat="false" ht="15" hidden="false" customHeight="false" outlineLevel="0" collapsed="false">
      <c r="A9" s="18" t="s">
        <v>568</v>
      </c>
      <c r="B9" s="19" t="s">
        <v>1877</v>
      </c>
      <c r="C9" s="19" t="s">
        <v>1878</v>
      </c>
      <c r="D9" s="19" t="s">
        <v>1879</v>
      </c>
      <c r="E9" s="19" t="s">
        <v>1880</v>
      </c>
      <c r="F9" s="19" t="s">
        <v>963</v>
      </c>
      <c r="G9" s="19" t="s">
        <v>561</v>
      </c>
    </row>
    <row r="10" customFormat="false" ht="15" hidden="false" customHeight="false" outlineLevel="0" collapsed="false">
      <c r="A10" s="18" t="s">
        <v>1881</v>
      </c>
      <c r="B10" s="19" t="s">
        <v>1882</v>
      </c>
      <c r="C10" s="19" t="s">
        <v>1883</v>
      </c>
      <c r="D10" s="19" t="s">
        <v>1884</v>
      </c>
      <c r="E10" s="19" t="s">
        <v>1885</v>
      </c>
      <c r="F10" s="19" t="s">
        <v>963</v>
      </c>
      <c r="G10" s="19" t="s">
        <v>112</v>
      </c>
    </row>
    <row r="11" customFormat="false" ht="15" hidden="false" customHeight="false" outlineLevel="0" collapsed="false">
      <c r="A11" s="18" t="s">
        <v>1349</v>
      </c>
      <c r="B11" s="19" t="s">
        <v>1647</v>
      </c>
      <c r="C11" s="19" t="s">
        <v>1886</v>
      </c>
      <c r="D11" s="19" t="s">
        <v>1884</v>
      </c>
      <c r="E11" s="19" t="s">
        <v>1887</v>
      </c>
      <c r="F11" s="19" t="s">
        <v>963</v>
      </c>
      <c r="G11" s="19" t="s">
        <v>140</v>
      </c>
    </row>
    <row r="12" customFormat="false" ht="15" hidden="false" customHeight="false" outlineLevel="0" collapsed="false">
      <c r="A12" s="18" t="s">
        <v>1888</v>
      </c>
      <c r="B12" s="19" t="s">
        <v>1889</v>
      </c>
      <c r="C12" s="19" t="s">
        <v>1890</v>
      </c>
      <c r="D12" s="19" t="s">
        <v>1884</v>
      </c>
      <c r="E12" s="19" t="s">
        <v>1891</v>
      </c>
      <c r="F12" s="19" t="s">
        <v>963</v>
      </c>
      <c r="G12" s="19" t="s">
        <v>140</v>
      </c>
    </row>
    <row r="13" customFormat="false" ht="15" hidden="false" customHeight="false" outlineLevel="0" collapsed="false">
      <c r="A13" s="18" t="s">
        <v>688</v>
      </c>
      <c r="B13" s="19" t="s">
        <v>1669</v>
      </c>
      <c r="C13" s="19" t="s">
        <v>1892</v>
      </c>
      <c r="D13" s="19" t="s">
        <v>1884</v>
      </c>
      <c r="E13" s="19" t="s">
        <v>1893</v>
      </c>
      <c r="F13" s="19" t="s">
        <v>963</v>
      </c>
      <c r="G13" s="19" t="s">
        <v>681</v>
      </c>
    </row>
    <row r="14" customFormat="false" ht="15" hidden="false" customHeight="false" outlineLevel="0" collapsed="false">
      <c r="A14" s="18" t="s">
        <v>577</v>
      </c>
      <c r="B14" s="19" t="s">
        <v>1894</v>
      </c>
      <c r="C14" s="19" t="s">
        <v>1895</v>
      </c>
      <c r="D14" s="19" t="s">
        <v>1879</v>
      </c>
      <c r="E14" s="19" t="s">
        <v>1896</v>
      </c>
      <c r="F14" s="19" t="s">
        <v>963</v>
      </c>
      <c r="G14" s="19" t="s">
        <v>570</v>
      </c>
    </row>
    <row r="15" customFormat="false" ht="15" hidden="false" customHeight="false" outlineLevel="0" collapsed="false">
      <c r="A15" s="18" t="s">
        <v>586</v>
      </c>
      <c r="B15" s="19" t="s">
        <v>1897</v>
      </c>
      <c r="C15" s="19" t="s">
        <v>1898</v>
      </c>
      <c r="D15" s="19" t="s">
        <v>1879</v>
      </c>
      <c r="E15" s="19" t="s">
        <v>1899</v>
      </c>
      <c r="F15" s="19" t="s">
        <v>963</v>
      </c>
      <c r="G15" s="19" t="s">
        <v>579</v>
      </c>
    </row>
    <row r="16" customFormat="false" ht="15" hidden="false" customHeight="false" outlineLevel="0" collapsed="false">
      <c r="A16" s="18" t="s">
        <v>603</v>
      </c>
      <c r="B16" s="19" t="s">
        <v>1900</v>
      </c>
      <c r="C16" s="19" t="s">
        <v>1901</v>
      </c>
      <c r="D16" s="19" t="s">
        <v>1879</v>
      </c>
      <c r="E16" s="19" t="s">
        <v>1902</v>
      </c>
      <c r="F16" s="19" t="s">
        <v>963</v>
      </c>
      <c r="G16" s="19" t="s">
        <v>596</v>
      </c>
    </row>
    <row r="17" customFormat="false" ht="15" hidden="false" customHeight="false" outlineLevel="0" collapsed="false">
      <c r="A17" s="18" t="s">
        <v>611</v>
      </c>
      <c r="B17" s="19" t="s">
        <v>1903</v>
      </c>
      <c r="C17" s="19" t="s">
        <v>1892</v>
      </c>
      <c r="D17" s="19" t="s">
        <v>1879</v>
      </c>
      <c r="E17" s="19" t="s">
        <v>1904</v>
      </c>
      <c r="F17" s="19" t="s">
        <v>963</v>
      </c>
      <c r="G17" s="19" t="s">
        <v>605</v>
      </c>
    </row>
    <row r="18" customFormat="false" ht="15" hidden="false" customHeight="false" outlineLevel="0" collapsed="false">
      <c r="A18" s="18" t="s">
        <v>626</v>
      </c>
      <c r="B18" s="19" t="s">
        <v>1905</v>
      </c>
      <c r="C18" s="19" t="s">
        <v>1892</v>
      </c>
      <c r="D18" s="19" t="s">
        <v>1879</v>
      </c>
      <c r="E18" s="19" t="s">
        <v>1880</v>
      </c>
      <c r="F18" s="19" t="s">
        <v>963</v>
      </c>
      <c r="G18" s="19" t="s">
        <v>620</v>
      </c>
    </row>
    <row r="19" customFormat="false" ht="15" hidden="false" customHeight="false" outlineLevel="0" collapsed="false">
      <c r="A19" s="18" t="s">
        <v>594</v>
      </c>
      <c r="B19" s="19" t="s">
        <v>1906</v>
      </c>
      <c r="C19" s="19" t="s">
        <v>1907</v>
      </c>
      <c r="D19" s="19" t="s">
        <v>1908</v>
      </c>
      <c r="E19" s="19" t="s">
        <v>1909</v>
      </c>
      <c r="F19" s="19" t="s">
        <v>963</v>
      </c>
      <c r="G19" s="19" t="s">
        <v>1910</v>
      </c>
    </row>
    <row r="20" customFormat="false" ht="15" hidden="false" customHeight="false" outlineLevel="0" collapsed="false">
      <c r="A20" s="18" t="s">
        <v>1911</v>
      </c>
      <c r="B20" s="19" t="s">
        <v>1912</v>
      </c>
      <c r="C20" s="19" t="s">
        <v>1913</v>
      </c>
      <c r="D20" s="19" t="s">
        <v>1908</v>
      </c>
      <c r="E20" s="19" t="s">
        <v>1914</v>
      </c>
      <c r="F20" s="19" t="s">
        <v>963</v>
      </c>
      <c r="G20" s="19" t="s">
        <v>596</v>
      </c>
    </row>
    <row r="21" customFormat="false" ht="15" hidden="false" customHeight="false" outlineLevel="0" collapsed="false">
      <c r="A21" s="18" t="s">
        <v>1384</v>
      </c>
      <c r="B21" s="19" t="s">
        <v>1915</v>
      </c>
      <c r="C21" s="19" t="s">
        <v>1916</v>
      </c>
      <c r="D21" s="19" t="s">
        <v>1908</v>
      </c>
      <c r="E21" s="19" t="s">
        <v>1917</v>
      </c>
      <c r="F21" s="19" t="s">
        <v>963</v>
      </c>
      <c r="G21" s="19" t="s">
        <v>596</v>
      </c>
    </row>
    <row r="22" customFormat="false" ht="15" hidden="false" customHeight="false" outlineLevel="0" collapsed="false">
      <c r="A22" s="18" t="s">
        <v>635</v>
      </c>
      <c r="B22" s="19" t="s">
        <v>630</v>
      </c>
      <c r="C22" s="19" t="s">
        <v>1918</v>
      </c>
      <c r="D22" s="19" t="s">
        <v>1908</v>
      </c>
      <c r="E22" s="19" t="s">
        <v>1919</v>
      </c>
      <c r="F22" s="19" t="s">
        <v>963</v>
      </c>
      <c r="G22" s="19" t="s">
        <v>628</v>
      </c>
    </row>
    <row r="23" customFormat="false" ht="15" hidden="false" customHeight="false" outlineLevel="0" collapsed="false">
      <c r="A23" s="18" t="s">
        <v>711</v>
      </c>
      <c r="B23" s="19" t="s">
        <v>1699</v>
      </c>
      <c r="C23" s="19" t="s">
        <v>1916</v>
      </c>
      <c r="D23" s="19" t="s">
        <v>1920</v>
      </c>
      <c r="E23" s="19" t="s">
        <v>1921</v>
      </c>
      <c r="F23" s="19" t="s">
        <v>963</v>
      </c>
      <c r="G23" s="19" t="s">
        <v>703</v>
      </c>
    </row>
    <row r="24" customFormat="false" ht="15" hidden="false" customHeight="false" outlineLevel="0" collapsed="false">
      <c r="A24" s="18" t="s">
        <v>720</v>
      </c>
      <c r="B24" s="19" t="s">
        <v>1716</v>
      </c>
      <c r="C24" s="19" t="s">
        <v>1922</v>
      </c>
      <c r="D24" s="19" t="s">
        <v>1923</v>
      </c>
      <c r="E24" s="19" t="s">
        <v>1924</v>
      </c>
      <c r="F24" s="19" t="s">
        <v>963</v>
      </c>
      <c r="G24" s="19" t="s">
        <v>713</v>
      </c>
    </row>
    <row r="25" customFormat="false" ht="23.85" hidden="false" customHeight="false" outlineLevel="0" collapsed="false">
      <c r="A25" s="18" t="s">
        <v>1925</v>
      </c>
      <c r="B25" s="19" t="s">
        <v>1926</v>
      </c>
      <c r="C25" s="19" t="s">
        <v>1927</v>
      </c>
      <c r="D25" s="19" t="s">
        <v>1923</v>
      </c>
      <c r="E25" s="19" t="s">
        <v>1928</v>
      </c>
      <c r="F25" s="19" t="s">
        <v>963</v>
      </c>
      <c r="G25" s="19" t="s">
        <v>722</v>
      </c>
    </row>
    <row r="26" customFormat="false" ht="15" hidden="false" customHeight="false" outlineLevel="0" collapsed="false">
      <c r="A26" s="18" t="s">
        <v>737</v>
      </c>
      <c r="B26" s="19" t="s">
        <v>1929</v>
      </c>
      <c r="C26" s="19" t="s">
        <v>95</v>
      </c>
      <c r="D26" s="19" t="s">
        <v>1923</v>
      </c>
      <c r="E26" s="19" t="s">
        <v>1930</v>
      </c>
      <c r="F26" s="19" t="s">
        <v>963</v>
      </c>
      <c r="G26" s="19" t="s">
        <v>730</v>
      </c>
    </row>
    <row r="27" customFormat="false" ht="15" hidden="false" customHeight="false" outlineLevel="0" collapsed="false">
      <c r="A27" s="18" t="s">
        <v>1931</v>
      </c>
      <c r="B27" s="19" t="s">
        <v>1932</v>
      </c>
      <c r="C27" s="19" t="s">
        <v>1933</v>
      </c>
      <c r="D27" s="19" t="s">
        <v>1879</v>
      </c>
      <c r="E27" s="19" t="s">
        <v>1934</v>
      </c>
      <c r="F27" s="19" t="s">
        <v>963</v>
      </c>
      <c r="G27" s="19" t="s">
        <v>513</v>
      </c>
    </row>
    <row r="28" customFormat="false" ht="23.85" hidden="false" customHeight="false" outlineLevel="0" collapsed="false">
      <c r="A28" s="18" t="s">
        <v>1935</v>
      </c>
      <c r="B28" s="19" t="s">
        <v>1936</v>
      </c>
      <c r="C28" s="19" t="s">
        <v>1937</v>
      </c>
      <c r="D28" s="19" t="s">
        <v>1938</v>
      </c>
      <c r="E28" s="19" t="s">
        <v>1939</v>
      </c>
      <c r="F28" s="19" t="s">
        <v>963</v>
      </c>
      <c r="G28" s="19" t="s">
        <v>1940</v>
      </c>
    </row>
    <row r="29" customFormat="false" ht="15" hidden="false" customHeight="false" outlineLevel="0" collapsed="false">
      <c r="A29" s="18" t="s">
        <v>820</v>
      </c>
      <c r="B29" s="19" t="s">
        <v>1941</v>
      </c>
      <c r="C29" s="19" t="s">
        <v>95</v>
      </c>
      <c r="D29" s="19" t="s">
        <v>1938</v>
      </c>
      <c r="E29" s="19" t="s">
        <v>1942</v>
      </c>
      <c r="F29" s="19" t="s">
        <v>963</v>
      </c>
      <c r="G29" s="19" t="s">
        <v>813</v>
      </c>
    </row>
    <row r="30" customFormat="false" ht="23.85" hidden="false" customHeight="false" outlineLevel="0" collapsed="false">
      <c r="A30" s="24" t="s">
        <v>1943</v>
      </c>
      <c r="B30" s="28" t="s">
        <v>1944</v>
      </c>
      <c r="C30" s="28" t="s">
        <v>1945</v>
      </c>
      <c r="D30" s="28" t="s">
        <v>1938</v>
      </c>
      <c r="E30" s="28" t="s">
        <v>1946</v>
      </c>
      <c r="F30" s="28" t="s">
        <v>963</v>
      </c>
      <c r="G30" s="28" t="s">
        <v>840</v>
      </c>
    </row>
    <row r="31" customFormat="false" ht="15" hidden="false" customHeight="false" outlineLevel="0" collapsed="false">
      <c r="A31" s="24" t="s">
        <v>827</v>
      </c>
      <c r="B31" s="28" t="s">
        <v>1947</v>
      </c>
      <c r="C31" s="28" t="s">
        <v>1948</v>
      </c>
      <c r="D31" s="28" t="s">
        <v>1949</v>
      </c>
      <c r="E31" s="28" t="s">
        <v>1950</v>
      </c>
      <c r="F31" s="28" t="s">
        <v>963</v>
      </c>
      <c r="G31" s="28" t="s">
        <v>822</v>
      </c>
    </row>
    <row r="32" customFormat="false" ht="23.85" hidden="false" customHeight="false" outlineLevel="0" collapsed="false">
      <c r="A32" s="24" t="s">
        <v>1951</v>
      </c>
      <c r="B32" s="28" t="s">
        <v>1952</v>
      </c>
      <c r="C32" s="28" t="s">
        <v>1953</v>
      </c>
      <c r="D32" s="28" t="s">
        <v>1954</v>
      </c>
      <c r="E32" s="28" t="s">
        <v>1955</v>
      </c>
      <c r="F32" s="28" t="s">
        <v>1956</v>
      </c>
      <c r="G32" s="28" t="s">
        <v>1957</v>
      </c>
    </row>
    <row r="33" customFormat="false" ht="15" hidden="false" customHeight="false" outlineLevel="0" collapsed="false">
      <c r="A33" s="18" t="s">
        <v>769</v>
      </c>
      <c r="B33" s="19" t="s">
        <v>1958</v>
      </c>
      <c r="C33" s="19" t="s">
        <v>1959</v>
      </c>
      <c r="D33" s="19" t="s">
        <v>1954</v>
      </c>
      <c r="E33" s="19" t="s">
        <v>1960</v>
      </c>
      <c r="F33" s="19" t="s">
        <v>963</v>
      </c>
      <c r="G33" s="19" t="s">
        <v>160</v>
      </c>
    </row>
    <row r="34" customFormat="false" ht="15" hidden="false" customHeight="false" outlineLevel="0" collapsed="false">
      <c r="A34" s="18" t="s">
        <v>893</v>
      </c>
      <c r="B34" s="19" t="s">
        <v>1961</v>
      </c>
      <c r="C34" s="19" t="s">
        <v>1892</v>
      </c>
      <c r="D34" s="19" t="s">
        <v>1962</v>
      </c>
      <c r="E34" s="19" t="s">
        <v>1963</v>
      </c>
      <c r="F34" s="19" t="s">
        <v>963</v>
      </c>
      <c r="G34" s="19" t="s">
        <v>884</v>
      </c>
    </row>
    <row r="35" customFormat="false" ht="15" hidden="false" customHeight="false" outlineLevel="0" collapsed="false">
      <c r="A35" s="18" t="s">
        <v>902</v>
      </c>
      <c r="B35" s="19" t="s">
        <v>1964</v>
      </c>
      <c r="C35" s="19" t="s">
        <v>95</v>
      </c>
      <c r="D35" s="19" t="s">
        <v>1962</v>
      </c>
      <c r="E35" s="19" t="s">
        <v>1965</v>
      </c>
      <c r="F35" s="19" t="s">
        <v>963</v>
      </c>
      <c r="G35" s="19" t="s">
        <v>895</v>
      </c>
    </row>
    <row r="36" customFormat="false" ht="15" hidden="false" customHeight="false" outlineLevel="0" collapsed="false">
      <c r="A36" s="18" t="s">
        <v>701</v>
      </c>
      <c r="B36" s="19" t="s">
        <v>1966</v>
      </c>
      <c r="C36" s="19" t="s">
        <v>1967</v>
      </c>
      <c r="D36" s="19" t="s">
        <v>1879</v>
      </c>
      <c r="E36" s="19" t="s">
        <v>1968</v>
      </c>
      <c r="F36" s="19" t="s">
        <v>963</v>
      </c>
      <c r="G36" s="19" t="s">
        <v>1043</v>
      </c>
    </row>
    <row r="37" customFormat="false" ht="15" hidden="false" customHeight="false" outlineLevel="0" collapsed="false">
      <c r="A37" s="18" t="s">
        <v>957</v>
      </c>
      <c r="B37" s="19" t="s">
        <v>1969</v>
      </c>
      <c r="C37" s="19" t="s">
        <v>1970</v>
      </c>
      <c r="D37" s="19" t="s">
        <v>1971</v>
      </c>
      <c r="E37" s="19" t="s">
        <v>1972</v>
      </c>
      <c r="F37" s="19" t="s">
        <v>963</v>
      </c>
      <c r="G37" s="19" t="s">
        <v>1973</v>
      </c>
    </row>
    <row r="38" customFormat="false" ht="23.85" hidden="false" customHeight="false" outlineLevel="0" collapsed="false">
      <c r="A38" s="18" t="s">
        <v>644</v>
      </c>
      <c r="B38" s="19" t="s">
        <v>1974</v>
      </c>
      <c r="C38" s="19" t="s">
        <v>1975</v>
      </c>
      <c r="D38" s="19" t="s">
        <v>1884</v>
      </c>
      <c r="E38" s="19" t="s">
        <v>1976</v>
      </c>
      <c r="F38" s="19" t="s">
        <v>963</v>
      </c>
      <c r="G38" s="19" t="s">
        <v>126</v>
      </c>
    </row>
    <row r="39" customFormat="false" ht="15" hidden="false" customHeight="false" outlineLevel="0" collapsed="false">
      <c r="A39" s="18" t="s">
        <v>843</v>
      </c>
      <c r="B39" s="19" t="s">
        <v>1977</v>
      </c>
      <c r="C39" s="19" t="s">
        <v>1978</v>
      </c>
      <c r="D39" s="19" t="s">
        <v>1938</v>
      </c>
      <c r="E39" s="19" t="s">
        <v>1979</v>
      </c>
      <c r="F39" s="19" t="s">
        <v>963</v>
      </c>
      <c r="G39" s="19" t="s">
        <v>155</v>
      </c>
    </row>
    <row r="40" customFormat="false" ht="23.85" hidden="false" customHeight="false" outlineLevel="0" collapsed="false">
      <c r="A40" s="18" t="s">
        <v>1469</v>
      </c>
      <c r="B40" s="19" t="s">
        <v>1980</v>
      </c>
      <c r="C40" s="19" t="s">
        <v>1981</v>
      </c>
      <c r="D40" s="19" t="s">
        <v>1954</v>
      </c>
      <c r="E40" s="19" t="s">
        <v>1982</v>
      </c>
      <c r="F40" s="19" t="s">
        <v>963</v>
      </c>
      <c r="G40" s="19" t="s">
        <v>165</v>
      </c>
    </row>
    <row r="41" customFormat="false" ht="23.85" hidden="false" customHeight="false" outlineLevel="0" collapsed="false">
      <c r="A41" s="18" t="s">
        <v>1514</v>
      </c>
      <c r="B41" s="19" t="s">
        <v>1983</v>
      </c>
      <c r="C41" s="19" t="s">
        <v>1984</v>
      </c>
      <c r="D41" s="19" t="s">
        <v>1954</v>
      </c>
      <c r="E41" s="19" t="s">
        <v>1985</v>
      </c>
      <c r="F41" s="19" t="s">
        <v>963</v>
      </c>
      <c r="G41" s="19" t="s">
        <v>165</v>
      </c>
    </row>
    <row r="42" customFormat="false" ht="23.85" hidden="false" customHeight="false" outlineLevel="0" collapsed="false">
      <c r="A42" s="18" t="s">
        <v>511</v>
      </c>
      <c r="B42" s="19" t="s">
        <v>1986</v>
      </c>
      <c r="C42" s="19" t="s">
        <v>1987</v>
      </c>
      <c r="D42" s="19" t="s">
        <v>1868</v>
      </c>
      <c r="E42" s="19" t="s">
        <v>1988</v>
      </c>
      <c r="F42" s="19" t="s">
        <v>963</v>
      </c>
      <c r="G42" s="19" t="s">
        <v>501</v>
      </c>
    </row>
  </sheetData>
  <autoFilter ref="A1:G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5B08"/>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4" min="4" style="0" width="62"/>
    <col collapsed="false" customWidth="true" hidden="false" outlineLevel="0" max="5" min="5" style="0" width="32"/>
    <col collapsed="false" customWidth="true" hidden="false" outlineLevel="0" max="6" min="6" style="0" width="24"/>
    <col collapsed="false" customWidth="true" hidden="false" outlineLevel="0" max="7" min="7" style="0" width="56"/>
  </cols>
  <sheetData>
    <row r="1" customFormat="false" ht="30" hidden="false" customHeight="true" outlineLevel="0" collapsed="false">
      <c r="A1" s="17" t="s">
        <v>1234</v>
      </c>
      <c r="B1" s="17" t="s">
        <v>1989</v>
      </c>
      <c r="C1" s="17" t="s">
        <v>1990</v>
      </c>
      <c r="D1" s="17" t="s">
        <v>1991</v>
      </c>
      <c r="E1" s="17" t="s">
        <v>1992</v>
      </c>
      <c r="F1" s="17" t="s">
        <v>1993</v>
      </c>
      <c r="G1" s="17" t="s">
        <v>1994</v>
      </c>
    </row>
    <row r="2" customFormat="false" ht="23.85" hidden="false" customHeight="false" outlineLevel="0" collapsed="false">
      <c r="A2" s="18" t="n">
        <v>1</v>
      </c>
      <c r="B2" s="19" t="s">
        <v>1995</v>
      </c>
      <c r="C2" s="19" t="s">
        <v>1996</v>
      </c>
      <c r="D2" s="19" t="s">
        <v>1997</v>
      </c>
      <c r="E2" s="19" t="s">
        <v>1998</v>
      </c>
      <c r="F2" s="19" t="s">
        <v>1999</v>
      </c>
      <c r="G2" s="19" t="s">
        <v>2000</v>
      </c>
    </row>
    <row r="3" customFormat="false" ht="15" hidden="false" customHeight="false" outlineLevel="0" collapsed="false">
      <c r="A3" s="18" t="n">
        <v>2</v>
      </c>
      <c r="B3" s="19" t="s">
        <v>2001</v>
      </c>
      <c r="C3" s="19" t="s">
        <v>1996</v>
      </c>
      <c r="D3" s="19" t="s">
        <v>2002</v>
      </c>
      <c r="E3" s="19" t="s">
        <v>2003</v>
      </c>
      <c r="F3" s="19" t="s">
        <v>2004</v>
      </c>
      <c r="G3" s="19" t="s">
        <v>2005</v>
      </c>
    </row>
    <row r="4" customFormat="false" ht="15" hidden="false" customHeight="false" outlineLevel="0" collapsed="false">
      <c r="A4" s="18" t="n">
        <v>3</v>
      </c>
      <c r="B4" s="19" t="s">
        <v>2006</v>
      </c>
      <c r="C4" s="19" t="s">
        <v>2007</v>
      </c>
      <c r="D4" s="19" t="s">
        <v>2008</v>
      </c>
      <c r="E4" s="19" t="s">
        <v>2009</v>
      </c>
      <c r="F4" s="19" t="s">
        <v>2010</v>
      </c>
      <c r="G4" s="19" t="s">
        <v>2011</v>
      </c>
    </row>
    <row r="5" customFormat="false" ht="15" hidden="false" customHeight="false" outlineLevel="0" collapsed="false">
      <c r="A5" s="18" t="n">
        <v>4</v>
      </c>
      <c r="B5" s="19" t="s">
        <v>2006</v>
      </c>
      <c r="C5" s="19" t="s">
        <v>2007</v>
      </c>
      <c r="D5" s="19" t="s">
        <v>2012</v>
      </c>
      <c r="E5" s="19" t="s">
        <v>2013</v>
      </c>
      <c r="F5" s="19" t="s">
        <v>2014</v>
      </c>
      <c r="G5" s="19" t="s">
        <v>2015</v>
      </c>
    </row>
    <row r="6" customFormat="false" ht="23.85" hidden="false" customHeight="false" outlineLevel="0" collapsed="false">
      <c r="A6" s="18" t="n">
        <v>5</v>
      </c>
      <c r="B6" s="19" t="s">
        <v>2006</v>
      </c>
      <c r="C6" s="19" t="s">
        <v>2007</v>
      </c>
      <c r="D6" s="19" t="s">
        <v>2016</v>
      </c>
      <c r="E6" s="19" t="s">
        <v>2017</v>
      </c>
      <c r="F6" s="19" t="s">
        <v>2018</v>
      </c>
      <c r="G6" s="19" t="s">
        <v>2019</v>
      </c>
    </row>
    <row r="7" customFormat="false" ht="15" hidden="false" customHeight="false" outlineLevel="0" collapsed="false">
      <c r="A7" s="18" t="n">
        <v>6</v>
      </c>
      <c r="B7" s="19" t="s">
        <v>2020</v>
      </c>
      <c r="C7" s="19" t="s">
        <v>1996</v>
      </c>
      <c r="D7" s="19" t="s">
        <v>2021</v>
      </c>
      <c r="E7" s="19" t="s">
        <v>2022</v>
      </c>
      <c r="F7" s="19" t="s">
        <v>2023</v>
      </c>
      <c r="G7" s="19" t="s">
        <v>2024</v>
      </c>
    </row>
    <row r="8" customFormat="false" ht="23.85" hidden="false" customHeight="false" outlineLevel="0" collapsed="false">
      <c r="A8" s="18" t="n">
        <v>7</v>
      </c>
      <c r="B8" s="19" t="s">
        <v>2025</v>
      </c>
      <c r="C8" s="19" t="s">
        <v>1996</v>
      </c>
      <c r="D8" s="19" t="s">
        <v>2026</v>
      </c>
      <c r="E8" s="19" t="s">
        <v>2027</v>
      </c>
      <c r="F8" s="19" t="s">
        <v>2028</v>
      </c>
      <c r="G8" s="19" t="s">
        <v>2029</v>
      </c>
    </row>
    <row r="9" customFormat="false" ht="15" hidden="false" customHeight="false" outlineLevel="0" collapsed="false">
      <c r="A9" s="18" t="n">
        <v>8</v>
      </c>
      <c r="B9" s="19" t="s">
        <v>2025</v>
      </c>
      <c r="C9" s="19" t="s">
        <v>2030</v>
      </c>
      <c r="D9" s="19" t="s">
        <v>2031</v>
      </c>
      <c r="E9" s="19" t="s">
        <v>2032</v>
      </c>
      <c r="F9" s="19" t="s">
        <v>2033</v>
      </c>
      <c r="G9" s="19" t="s">
        <v>2034</v>
      </c>
    </row>
    <row r="10" customFormat="false" ht="23.85" hidden="false" customHeight="false" outlineLevel="0" collapsed="false">
      <c r="A10" s="18" t="n">
        <v>9</v>
      </c>
      <c r="B10" s="19" t="s">
        <v>2035</v>
      </c>
      <c r="C10" s="19" t="s">
        <v>1996</v>
      </c>
      <c r="D10" s="19" t="s">
        <v>2036</v>
      </c>
      <c r="E10" s="19" t="s">
        <v>2037</v>
      </c>
      <c r="F10" s="19" t="s">
        <v>2038</v>
      </c>
      <c r="G10" s="19" t="s">
        <v>2039</v>
      </c>
    </row>
    <row r="11" customFormat="false" ht="15" hidden="false" customHeight="false" outlineLevel="0" collapsed="false">
      <c r="A11" s="18" t="n">
        <v>10</v>
      </c>
      <c r="B11" s="19" t="s">
        <v>2040</v>
      </c>
      <c r="C11" s="19" t="s">
        <v>216</v>
      </c>
      <c r="D11" s="19" t="s">
        <v>2041</v>
      </c>
      <c r="E11" s="19" t="s">
        <v>2022</v>
      </c>
      <c r="F11" s="19" t="s">
        <v>2042</v>
      </c>
      <c r="G11" s="19" t="s">
        <v>2043</v>
      </c>
    </row>
    <row r="12" customFormat="false" ht="23.85" hidden="false" customHeight="false" outlineLevel="0" collapsed="false">
      <c r="A12" s="18" t="n">
        <v>11</v>
      </c>
      <c r="B12" s="19" t="s">
        <v>2044</v>
      </c>
      <c r="C12" s="19" t="s">
        <v>2007</v>
      </c>
      <c r="D12" s="19" t="s">
        <v>2045</v>
      </c>
      <c r="E12" s="19" t="s">
        <v>2046</v>
      </c>
      <c r="F12" s="19" t="s">
        <v>2047</v>
      </c>
      <c r="G12" s="19" t="s">
        <v>2048</v>
      </c>
    </row>
    <row r="13" customFormat="false" ht="23.85" hidden="false" customHeight="false" outlineLevel="0" collapsed="false">
      <c r="A13" s="18" t="n">
        <v>12</v>
      </c>
      <c r="B13" s="19" t="s">
        <v>2049</v>
      </c>
      <c r="C13" s="19" t="s">
        <v>216</v>
      </c>
      <c r="D13" s="19" t="s">
        <v>2050</v>
      </c>
      <c r="E13" s="19" t="s">
        <v>1235</v>
      </c>
      <c r="F13" s="19" t="s">
        <v>2051</v>
      </c>
      <c r="G13" s="19" t="s">
        <v>2052</v>
      </c>
    </row>
    <row r="14" customFormat="false" ht="23.85" hidden="false" customHeight="false" outlineLevel="0" collapsed="false">
      <c r="A14" s="18" t="n">
        <v>13</v>
      </c>
      <c r="B14" s="19" t="s">
        <v>2053</v>
      </c>
      <c r="C14" s="19" t="s">
        <v>2030</v>
      </c>
      <c r="D14" s="19" t="s">
        <v>2054</v>
      </c>
      <c r="E14" s="19" t="s">
        <v>2055</v>
      </c>
      <c r="F14" s="19" t="s">
        <v>2056</v>
      </c>
      <c r="G14" s="19" t="s">
        <v>2057</v>
      </c>
    </row>
    <row r="15" customFormat="false" ht="15" hidden="false" customHeight="false" outlineLevel="0" collapsed="false">
      <c r="A15" s="18" t="n">
        <v>14</v>
      </c>
      <c r="B15" s="19" t="s">
        <v>2053</v>
      </c>
      <c r="C15" s="19" t="s">
        <v>2058</v>
      </c>
      <c r="D15" s="19" t="s">
        <v>2059</v>
      </c>
      <c r="E15" s="19" t="s">
        <v>2060</v>
      </c>
      <c r="F15" s="19" t="s">
        <v>2061</v>
      </c>
      <c r="G15" s="19" t="s">
        <v>2062</v>
      </c>
    </row>
    <row r="16" customFormat="false" ht="23.85" hidden="false" customHeight="false" outlineLevel="0" collapsed="false">
      <c r="A16" s="18" t="n">
        <v>15</v>
      </c>
      <c r="B16" s="19" t="s">
        <v>2053</v>
      </c>
      <c r="C16" s="19" t="s">
        <v>2063</v>
      </c>
      <c r="D16" s="19" t="s">
        <v>2064</v>
      </c>
      <c r="E16" s="19" t="s">
        <v>2065</v>
      </c>
      <c r="F16" s="19" t="s">
        <v>2066</v>
      </c>
      <c r="G16" s="19" t="s">
        <v>2067</v>
      </c>
    </row>
    <row r="17" customFormat="false" ht="15" hidden="false" customHeight="false" outlineLevel="0" collapsed="false">
      <c r="A17" s="18" t="n">
        <v>16</v>
      </c>
      <c r="B17" s="19" t="s">
        <v>2068</v>
      </c>
      <c r="C17" s="19" t="s">
        <v>1313</v>
      </c>
      <c r="D17" s="19" t="s">
        <v>2069</v>
      </c>
      <c r="E17" s="19" t="s">
        <v>2070</v>
      </c>
      <c r="F17" s="19" t="s">
        <v>2071</v>
      </c>
      <c r="G17" s="19" t="s">
        <v>2072</v>
      </c>
    </row>
    <row r="18" customFormat="false" ht="15" hidden="false" customHeight="false" outlineLevel="0" collapsed="false">
      <c r="A18" s="18" t="n">
        <v>17</v>
      </c>
      <c r="B18" s="19" t="s">
        <v>2073</v>
      </c>
      <c r="C18" s="19" t="s">
        <v>1313</v>
      </c>
      <c r="D18" s="19" t="s">
        <v>2074</v>
      </c>
      <c r="E18" s="19" t="s">
        <v>2075</v>
      </c>
      <c r="F18" s="19" t="s">
        <v>2076</v>
      </c>
      <c r="G18" s="19" t="s">
        <v>2077</v>
      </c>
    </row>
    <row r="19" customFormat="false" ht="15" hidden="false" customHeight="false" outlineLevel="0" collapsed="false">
      <c r="A19" s="18" t="n">
        <v>18</v>
      </c>
      <c r="B19" s="19" t="s">
        <v>2078</v>
      </c>
      <c r="C19" s="19" t="s">
        <v>1996</v>
      </c>
      <c r="D19" s="19" t="s">
        <v>2079</v>
      </c>
      <c r="E19" s="19" t="s">
        <v>2080</v>
      </c>
      <c r="F19" s="19" t="s">
        <v>2081</v>
      </c>
      <c r="G19" s="19" t="s">
        <v>2082</v>
      </c>
    </row>
    <row r="20" customFormat="false" ht="15" hidden="false" customHeight="false" outlineLevel="0" collapsed="false">
      <c r="A20" s="18" t="n">
        <v>19</v>
      </c>
      <c r="B20" s="19" t="s">
        <v>2078</v>
      </c>
      <c r="C20" s="19" t="s">
        <v>1996</v>
      </c>
      <c r="D20" s="19" t="s">
        <v>2083</v>
      </c>
      <c r="E20" s="19" t="s">
        <v>2084</v>
      </c>
      <c r="F20" s="19" t="s">
        <v>2085</v>
      </c>
      <c r="G20" s="19" t="s">
        <v>2086</v>
      </c>
    </row>
    <row r="21" customFormat="false" ht="15" hidden="false" customHeight="false" outlineLevel="0" collapsed="false">
      <c r="A21" s="18" t="n">
        <v>20</v>
      </c>
      <c r="B21" s="19" t="s">
        <v>2087</v>
      </c>
      <c r="C21" s="19" t="s">
        <v>1996</v>
      </c>
      <c r="D21" s="19" t="s">
        <v>2088</v>
      </c>
      <c r="E21" s="19" t="s">
        <v>2089</v>
      </c>
      <c r="F21" s="19" t="s">
        <v>2090</v>
      </c>
      <c r="G21" s="19" t="s">
        <v>2091</v>
      </c>
    </row>
  </sheetData>
  <autoFilter ref="A1:G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211D"/>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2"/>
    <col collapsed="false" customWidth="true" hidden="false" outlineLevel="0" max="3" min="3" style="0" width="74"/>
    <col collapsed="false" customWidth="true" hidden="false" outlineLevel="0" max="4" min="4" style="0" width="62"/>
  </cols>
  <sheetData>
    <row r="1" customFormat="false" ht="30" hidden="false" customHeight="true" outlineLevel="0" collapsed="false">
      <c r="A1" s="17" t="s">
        <v>2092</v>
      </c>
      <c r="B1" s="17" t="s">
        <v>2093</v>
      </c>
      <c r="C1" s="17" t="s">
        <v>2094</v>
      </c>
      <c r="D1" s="17" t="s">
        <v>2095</v>
      </c>
    </row>
    <row r="2" customFormat="false" ht="23.85" hidden="false" customHeight="false" outlineLevel="0" collapsed="false">
      <c r="A2" s="18" t="s">
        <v>2096</v>
      </c>
      <c r="B2" s="19" t="s">
        <v>2097</v>
      </c>
      <c r="C2" s="19" t="s">
        <v>2098</v>
      </c>
      <c r="D2" s="19" t="s">
        <v>2099</v>
      </c>
    </row>
    <row r="3" customFormat="false" ht="23.85" hidden="false" customHeight="false" outlineLevel="0" collapsed="false">
      <c r="A3" s="18" t="s">
        <v>2100</v>
      </c>
      <c r="B3" s="19" t="s">
        <v>2101</v>
      </c>
      <c r="C3" s="19" t="s">
        <v>2102</v>
      </c>
      <c r="D3" s="19" t="s">
        <v>2103</v>
      </c>
    </row>
    <row r="4" customFormat="false" ht="23.85" hidden="false" customHeight="false" outlineLevel="0" collapsed="false">
      <c r="A4" s="18" t="s">
        <v>2104</v>
      </c>
      <c r="B4" s="19" t="s">
        <v>2105</v>
      </c>
      <c r="C4" s="19" t="s">
        <v>2106</v>
      </c>
      <c r="D4" s="19" t="s">
        <v>2107</v>
      </c>
    </row>
    <row r="5" customFormat="false" ht="23.85" hidden="false" customHeight="false" outlineLevel="0" collapsed="false">
      <c r="A5" s="18" t="s">
        <v>2108</v>
      </c>
      <c r="B5" s="19" t="s">
        <v>2109</v>
      </c>
      <c r="C5" s="19" t="s">
        <v>2110</v>
      </c>
      <c r="D5" s="19" t="s">
        <v>2111</v>
      </c>
    </row>
    <row r="6" customFormat="false" ht="23.85" hidden="false" customHeight="false" outlineLevel="0" collapsed="false">
      <c r="A6" s="18" t="s">
        <v>2112</v>
      </c>
      <c r="B6" s="19" t="s">
        <v>2113</v>
      </c>
      <c r="C6" s="19" t="s">
        <v>2114</v>
      </c>
      <c r="D6" s="19" t="s">
        <v>2115</v>
      </c>
    </row>
    <row r="7" customFormat="false" ht="23.85" hidden="false" customHeight="false" outlineLevel="0" collapsed="false">
      <c r="A7" s="18" t="s">
        <v>2116</v>
      </c>
      <c r="B7" s="19" t="s">
        <v>2117</v>
      </c>
      <c r="C7" s="19" t="s">
        <v>2118</v>
      </c>
      <c r="D7" s="19" t="s">
        <v>2119</v>
      </c>
    </row>
    <row r="8" customFormat="false" ht="23.85" hidden="false" customHeight="false" outlineLevel="0" collapsed="false">
      <c r="A8" s="18" t="s">
        <v>2120</v>
      </c>
      <c r="B8" s="19" t="s">
        <v>2121</v>
      </c>
      <c r="C8" s="19" t="s">
        <v>2122</v>
      </c>
      <c r="D8" s="19" t="s">
        <v>2123</v>
      </c>
    </row>
    <row r="9" customFormat="false" ht="35.05" hidden="false" customHeight="false" outlineLevel="0" collapsed="false">
      <c r="A9" s="18" t="s">
        <v>2124</v>
      </c>
      <c r="B9" s="19" t="s">
        <v>2125</v>
      </c>
      <c r="C9" s="19" t="s">
        <v>2126</v>
      </c>
      <c r="D9" s="19" t="s">
        <v>2127</v>
      </c>
    </row>
    <row r="10" customFormat="false" ht="23.85" hidden="false" customHeight="false" outlineLevel="0" collapsed="false">
      <c r="A10" s="18" t="s">
        <v>2128</v>
      </c>
      <c r="B10" s="19" t="s">
        <v>2129</v>
      </c>
      <c r="C10" s="19" t="s">
        <v>2130</v>
      </c>
      <c r="D10" s="19" t="s">
        <v>2131</v>
      </c>
    </row>
    <row r="11" customFormat="false" ht="23.85" hidden="false" customHeight="false" outlineLevel="0" collapsed="false">
      <c r="A11" s="18" t="s">
        <v>2132</v>
      </c>
      <c r="B11" s="19" t="s">
        <v>2133</v>
      </c>
      <c r="C11" s="19" t="s">
        <v>2134</v>
      </c>
      <c r="D11" s="19" t="s">
        <v>2135</v>
      </c>
    </row>
    <row r="12" customFormat="false" ht="23.85" hidden="false" customHeight="false" outlineLevel="0" collapsed="false">
      <c r="A12" s="18" t="s">
        <v>2136</v>
      </c>
      <c r="B12" s="19" t="s">
        <v>2137</v>
      </c>
      <c r="C12" s="19" t="s">
        <v>2138</v>
      </c>
      <c r="D12" s="19" t="s">
        <v>2139</v>
      </c>
    </row>
    <row r="13" customFormat="false" ht="23.85" hidden="false" customHeight="false" outlineLevel="0" collapsed="false">
      <c r="A13" s="18" t="s">
        <v>2140</v>
      </c>
      <c r="B13" s="19" t="s">
        <v>2141</v>
      </c>
      <c r="C13" s="19" t="s">
        <v>2142</v>
      </c>
      <c r="D13" s="19" t="s">
        <v>2143</v>
      </c>
    </row>
    <row r="14" customFormat="false" ht="23.85" hidden="false" customHeight="false" outlineLevel="0" collapsed="false">
      <c r="A14" s="18" t="s">
        <v>2144</v>
      </c>
      <c r="B14" s="19" t="s">
        <v>2145</v>
      </c>
      <c r="C14" s="19" t="s">
        <v>2146</v>
      </c>
      <c r="D14" s="19" t="s">
        <v>2147</v>
      </c>
    </row>
    <row r="15" customFormat="false" ht="23.85" hidden="false" customHeight="false" outlineLevel="0" collapsed="false">
      <c r="A15" s="18" t="s">
        <v>2148</v>
      </c>
      <c r="B15" s="19" t="s">
        <v>2149</v>
      </c>
      <c r="C15" s="19" t="s">
        <v>2150</v>
      </c>
      <c r="D15" s="19" t="s">
        <v>2151</v>
      </c>
    </row>
  </sheetData>
  <autoFilter ref="A1:D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3DF5"/>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26"/>
    <col collapsed="false" customWidth="true" hidden="false" outlineLevel="0" max="4" min="4" style="0" width="60"/>
    <col collapsed="false" customWidth="true" hidden="false" outlineLevel="0" max="5" min="5" style="0" width="54"/>
    <col collapsed="false" customWidth="true" hidden="false" outlineLevel="0" max="6" min="6" style="0" width="10"/>
    <col collapsed="false" customWidth="true" hidden="false" outlineLevel="0" max="7" min="7" style="0" width="14"/>
  </cols>
  <sheetData>
    <row r="1" customFormat="false" ht="30" hidden="false" customHeight="true" outlineLevel="0" collapsed="false">
      <c r="A1" s="17" t="s">
        <v>445</v>
      </c>
      <c r="B1" s="17" t="s">
        <v>2152</v>
      </c>
      <c r="C1" s="17" t="s">
        <v>2153</v>
      </c>
      <c r="D1" s="17" t="s">
        <v>2154</v>
      </c>
      <c r="E1" s="17" t="s">
        <v>2155</v>
      </c>
      <c r="F1" s="17" t="s">
        <v>2156</v>
      </c>
      <c r="G1" s="17" t="s">
        <v>447</v>
      </c>
    </row>
    <row r="2" customFormat="false" ht="15" hidden="false" customHeight="false" outlineLevel="0" collapsed="false">
      <c r="A2" s="32" t="s">
        <v>963</v>
      </c>
      <c r="B2" s="19" t="s">
        <v>2157</v>
      </c>
      <c r="C2" s="19" t="s">
        <v>2158</v>
      </c>
      <c r="D2" s="19" t="s">
        <v>2159</v>
      </c>
      <c r="E2" s="19" t="s">
        <v>2160</v>
      </c>
      <c r="F2" s="19" t="s">
        <v>2161</v>
      </c>
      <c r="G2" s="19" t="s">
        <v>463</v>
      </c>
    </row>
    <row r="3" customFormat="false" ht="15" hidden="false" customHeight="false" outlineLevel="0" collapsed="false">
      <c r="A3" s="32" t="s">
        <v>963</v>
      </c>
      <c r="B3" s="19" t="s">
        <v>2157</v>
      </c>
      <c r="C3" s="19" t="s">
        <v>2158</v>
      </c>
      <c r="D3" s="19" t="s">
        <v>2162</v>
      </c>
      <c r="E3" s="19" t="s">
        <v>2163</v>
      </c>
      <c r="F3" s="19" t="s">
        <v>2161</v>
      </c>
      <c r="G3" s="19" t="s">
        <v>463</v>
      </c>
    </row>
    <row r="4" customFormat="false" ht="15" hidden="false" customHeight="false" outlineLevel="0" collapsed="false">
      <c r="A4" s="32" t="s">
        <v>963</v>
      </c>
      <c r="B4" s="19" t="s">
        <v>2157</v>
      </c>
      <c r="C4" s="19" t="s">
        <v>2158</v>
      </c>
      <c r="D4" s="19" t="s">
        <v>2164</v>
      </c>
      <c r="E4" s="19" t="s">
        <v>2165</v>
      </c>
      <c r="F4" s="19" t="s">
        <v>2161</v>
      </c>
      <c r="G4" s="19" t="s">
        <v>2166</v>
      </c>
    </row>
    <row r="5" customFormat="false" ht="23.85" hidden="false" customHeight="false" outlineLevel="0" collapsed="false">
      <c r="A5" s="32" t="s">
        <v>963</v>
      </c>
      <c r="B5" s="19" t="s">
        <v>2157</v>
      </c>
      <c r="C5" s="19" t="s">
        <v>2158</v>
      </c>
      <c r="D5" s="19" t="s">
        <v>2167</v>
      </c>
      <c r="E5" s="19" t="s">
        <v>2168</v>
      </c>
      <c r="F5" s="19" t="s">
        <v>2161</v>
      </c>
      <c r="G5" s="19" t="s">
        <v>463</v>
      </c>
    </row>
    <row r="6" customFormat="false" ht="23.85" hidden="false" customHeight="false" outlineLevel="0" collapsed="false">
      <c r="A6" s="32" t="s">
        <v>963</v>
      </c>
      <c r="B6" s="19" t="s">
        <v>2157</v>
      </c>
      <c r="C6" s="19" t="s">
        <v>2158</v>
      </c>
      <c r="D6" s="19" t="s">
        <v>2169</v>
      </c>
      <c r="E6" s="19" t="s">
        <v>2170</v>
      </c>
      <c r="F6" s="19" t="s">
        <v>2161</v>
      </c>
      <c r="G6" s="19" t="s">
        <v>2171</v>
      </c>
    </row>
    <row r="7" customFormat="false" ht="15" hidden="false" customHeight="false" outlineLevel="0" collapsed="false">
      <c r="A7" s="32" t="s">
        <v>963</v>
      </c>
      <c r="B7" s="19" t="s">
        <v>2157</v>
      </c>
      <c r="C7" s="19" t="s">
        <v>2158</v>
      </c>
      <c r="D7" s="19" t="s">
        <v>2172</v>
      </c>
      <c r="E7" s="19" t="s">
        <v>2173</v>
      </c>
      <c r="F7" s="19" t="s">
        <v>2161</v>
      </c>
      <c r="G7" s="19" t="s">
        <v>1034</v>
      </c>
    </row>
    <row r="8" customFormat="false" ht="15" hidden="false" customHeight="false" outlineLevel="0" collapsed="false">
      <c r="A8" s="32" t="s">
        <v>963</v>
      </c>
      <c r="B8" s="19" t="s">
        <v>2157</v>
      </c>
      <c r="C8" s="19" t="s">
        <v>2158</v>
      </c>
      <c r="D8" s="19" t="s">
        <v>2174</v>
      </c>
      <c r="E8" s="19" t="s">
        <v>2175</v>
      </c>
      <c r="F8" s="19" t="s">
        <v>2161</v>
      </c>
      <c r="G8" s="19" t="s">
        <v>463</v>
      </c>
    </row>
    <row r="9" customFormat="false" ht="23.85" hidden="false" customHeight="false" outlineLevel="0" collapsed="false">
      <c r="A9" s="33" t="s">
        <v>461</v>
      </c>
      <c r="B9" s="19" t="s">
        <v>2176</v>
      </c>
      <c r="C9" s="19" t="s">
        <v>2177</v>
      </c>
      <c r="D9" s="19" t="s">
        <v>2178</v>
      </c>
      <c r="E9" s="19" t="s">
        <v>2179</v>
      </c>
      <c r="F9" s="19" t="s">
        <v>2180</v>
      </c>
      <c r="G9" s="19" t="s">
        <v>2181</v>
      </c>
    </row>
    <row r="10" customFormat="false" ht="23.85" hidden="false" customHeight="false" outlineLevel="0" collapsed="false">
      <c r="A10" s="33" t="s">
        <v>461</v>
      </c>
      <c r="B10" s="19" t="s">
        <v>2176</v>
      </c>
      <c r="C10" s="19" t="s">
        <v>2177</v>
      </c>
      <c r="D10" s="19" t="s">
        <v>2182</v>
      </c>
      <c r="E10" s="19" t="s">
        <v>2183</v>
      </c>
      <c r="F10" s="19" t="s">
        <v>2180</v>
      </c>
      <c r="G10" s="19" t="s">
        <v>758</v>
      </c>
    </row>
    <row r="11" customFormat="false" ht="15" hidden="false" customHeight="false" outlineLevel="0" collapsed="false">
      <c r="A11" s="33" t="s">
        <v>461</v>
      </c>
      <c r="B11" s="19" t="s">
        <v>2176</v>
      </c>
      <c r="C11" s="19" t="s">
        <v>2177</v>
      </c>
      <c r="D11" s="19" t="s">
        <v>2184</v>
      </c>
      <c r="E11" s="19" t="s">
        <v>2185</v>
      </c>
      <c r="F11" s="19" t="s">
        <v>2180</v>
      </c>
      <c r="G11" s="19" t="s">
        <v>463</v>
      </c>
    </row>
    <row r="12" customFormat="false" ht="23.85" hidden="false" customHeight="false" outlineLevel="0" collapsed="false">
      <c r="A12" s="24" t="s">
        <v>519</v>
      </c>
      <c r="B12" s="19" t="s">
        <v>2186</v>
      </c>
      <c r="C12" s="19" t="s">
        <v>2187</v>
      </c>
      <c r="D12" s="19" t="s">
        <v>2188</v>
      </c>
      <c r="E12" s="19" t="s">
        <v>2189</v>
      </c>
      <c r="F12" s="19" t="s">
        <v>2190</v>
      </c>
      <c r="G12" s="19" t="s">
        <v>463</v>
      </c>
    </row>
    <row r="13" customFormat="false" ht="23.85" hidden="false" customHeight="false" outlineLevel="0" collapsed="false">
      <c r="A13" s="24" t="s">
        <v>519</v>
      </c>
      <c r="B13" s="19" t="s">
        <v>2186</v>
      </c>
      <c r="C13" s="19" t="s">
        <v>2187</v>
      </c>
      <c r="D13" s="19" t="s">
        <v>2191</v>
      </c>
      <c r="E13" s="19" t="s">
        <v>2192</v>
      </c>
      <c r="F13" s="19" t="s">
        <v>2190</v>
      </c>
      <c r="G13" s="19" t="s">
        <v>463</v>
      </c>
    </row>
    <row r="14" customFormat="false" ht="23.85" hidden="false" customHeight="false" outlineLevel="0" collapsed="false">
      <c r="A14" s="24" t="s">
        <v>519</v>
      </c>
      <c r="B14" s="19" t="s">
        <v>2186</v>
      </c>
      <c r="C14" s="19" t="s">
        <v>2187</v>
      </c>
      <c r="D14" s="19" t="s">
        <v>2193</v>
      </c>
      <c r="E14" s="19" t="s">
        <v>2194</v>
      </c>
      <c r="F14" s="19" t="s">
        <v>2190</v>
      </c>
      <c r="G14" s="19" t="s">
        <v>463</v>
      </c>
    </row>
    <row r="15" customFormat="false" ht="23.85" hidden="false" customHeight="false" outlineLevel="0" collapsed="false">
      <c r="A15" s="24" t="s">
        <v>519</v>
      </c>
      <c r="B15" s="19" t="s">
        <v>2186</v>
      </c>
      <c r="C15" s="19" t="s">
        <v>2187</v>
      </c>
      <c r="D15" s="19" t="s">
        <v>2195</v>
      </c>
      <c r="E15" s="19" t="s">
        <v>2196</v>
      </c>
      <c r="F15" s="19" t="s">
        <v>2190</v>
      </c>
      <c r="G15" s="19" t="s">
        <v>463</v>
      </c>
    </row>
    <row r="16" customFormat="false" ht="23.85" hidden="false" customHeight="false" outlineLevel="0" collapsed="false">
      <c r="A16" s="24" t="s">
        <v>519</v>
      </c>
      <c r="B16" s="19" t="s">
        <v>2186</v>
      </c>
      <c r="C16" s="19" t="s">
        <v>2187</v>
      </c>
      <c r="D16" s="19" t="s">
        <v>2197</v>
      </c>
      <c r="E16" s="19" t="s">
        <v>2198</v>
      </c>
      <c r="F16" s="19" t="s">
        <v>2190</v>
      </c>
      <c r="G16" s="19" t="s">
        <v>463</v>
      </c>
    </row>
    <row r="17" customFormat="false" ht="23.85" hidden="false" customHeight="false" outlineLevel="0" collapsed="false">
      <c r="A17" s="24" t="s">
        <v>519</v>
      </c>
      <c r="B17" s="19" t="s">
        <v>2186</v>
      </c>
      <c r="C17" s="19" t="s">
        <v>2187</v>
      </c>
      <c r="D17" s="19" t="s">
        <v>2199</v>
      </c>
      <c r="E17" s="19" t="s">
        <v>2200</v>
      </c>
      <c r="F17" s="19" t="s">
        <v>2190</v>
      </c>
      <c r="G17" s="19" t="s">
        <v>1034</v>
      </c>
    </row>
    <row r="18" customFormat="false" ht="15" hidden="false" customHeight="false" outlineLevel="0" collapsed="false">
      <c r="A18" s="20" t="s">
        <v>507</v>
      </c>
      <c r="B18" s="19" t="s">
        <v>2201</v>
      </c>
      <c r="C18" s="19" t="s">
        <v>2202</v>
      </c>
      <c r="D18" s="19" t="s">
        <v>2203</v>
      </c>
      <c r="E18" s="19" t="s">
        <v>2204</v>
      </c>
      <c r="F18" s="19" t="s">
        <v>2190</v>
      </c>
      <c r="G18" s="19" t="s">
        <v>463</v>
      </c>
    </row>
    <row r="19" customFormat="false" ht="15" hidden="false" customHeight="false" outlineLevel="0" collapsed="false">
      <c r="A19" s="20" t="s">
        <v>507</v>
      </c>
      <c r="B19" s="19" t="s">
        <v>2201</v>
      </c>
      <c r="C19" s="19" t="s">
        <v>2202</v>
      </c>
      <c r="D19" s="19" t="s">
        <v>2205</v>
      </c>
      <c r="E19" s="19" t="s">
        <v>2206</v>
      </c>
      <c r="F19" s="19" t="s">
        <v>2190</v>
      </c>
      <c r="G19" s="19" t="s">
        <v>463</v>
      </c>
    </row>
    <row r="20" customFormat="false" ht="15" hidden="false" customHeight="false" outlineLevel="0" collapsed="false">
      <c r="A20" s="20" t="s">
        <v>507</v>
      </c>
      <c r="B20" s="19" t="s">
        <v>2201</v>
      </c>
      <c r="C20" s="19" t="s">
        <v>2202</v>
      </c>
      <c r="D20" s="19" t="s">
        <v>2207</v>
      </c>
      <c r="E20" s="19" t="s">
        <v>2208</v>
      </c>
      <c r="F20" s="19" t="s">
        <v>2190</v>
      </c>
      <c r="G20" s="19" t="s">
        <v>463</v>
      </c>
    </row>
    <row r="21" customFormat="false" ht="15" hidden="false" customHeight="false" outlineLevel="0" collapsed="false">
      <c r="A21" s="20" t="s">
        <v>507</v>
      </c>
      <c r="B21" s="19" t="s">
        <v>2201</v>
      </c>
      <c r="C21" s="19" t="s">
        <v>2202</v>
      </c>
      <c r="D21" s="19" t="s">
        <v>2209</v>
      </c>
      <c r="E21" s="19" t="s">
        <v>2210</v>
      </c>
      <c r="F21" s="19" t="s">
        <v>2190</v>
      </c>
      <c r="G21" s="19" t="s">
        <v>2211</v>
      </c>
    </row>
    <row r="22" customFormat="false" ht="15" hidden="false" customHeight="false" outlineLevel="0" collapsed="false">
      <c r="A22" s="20" t="s">
        <v>507</v>
      </c>
      <c r="B22" s="19" t="s">
        <v>2201</v>
      </c>
      <c r="C22" s="19" t="s">
        <v>2202</v>
      </c>
      <c r="D22" s="19" t="s">
        <v>2212</v>
      </c>
      <c r="E22" s="19" t="s">
        <v>2213</v>
      </c>
      <c r="F22" s="19" t="s">
        <v>2190</v>
      </c>
      <c r="G22" s="19" t="s">
        <v>758</v>
      </c>
    </row>
    <row r="23" customFormat="false" ht="15" hidden="false" customHeight="false" outlineLevel="0" collapsed="false">
      <c r="A23" s="21" t="s">
        <v>783</v>
      </c>
      <c r="B23" s="19" t="s">
        <v>2214</v>
      </c>
      <c r="C23" s="19" t="s">
        <v>2215</v>
      </c>
      <c r="D23" s="19" t="s">
        <v>2216</v>
      </c>
      <c r="E23" s="19" t="s">
        <v>2217</v>
      </c>
      <c r="F23" s="19" t="s">
        <v>2180</v>
      </c>
      <c r="G23" s="19" t="s">
        <v>463</v>
      </c>
    </row>
    <row r="24" customFormat="false" ht="15" hidden="false" customHeight="false" outlineLevel="0" collapsed="false">
      <c r="A24" s="21" t="s">
        <v>783</v>
      </c>
      <c r="B24" s="19" t="s">
        <v>2214</v>
      </c>
      <c r="C24" s="19" t="s">
        <v>2215</v>
      </c>
      <c r="D24" s="19" t="s">
        <v>2218</v>
      </c>
      <c r="E24" s="19" t="s">
        <v>2219</v>
      </c>
      <c r="F24" s="19" t="s">
        <v>2180</v>
      </c>
      <c r="G24" s="19" t="s">
        <v>463</v>
      </c>
    </row>
    <row r="25" customFormat="false" ht="15" hidden="false" customHeight="false" outlineLevel="0" collapsed="false">
      <c r="A25" s="21" t="s">
        <v>783</v>
      </c>
      <c r="B25" s="19" t="s">
        <v>2214</v>
      </c>
      <c r="C25" s="19" t="s">
        <v>2215</v>
      </c>
      <c r="D25" s="19" t="s">
        <v>2220</v>
      </c>
      <c r="E25" s="19" t="s">
        <v>2221</v>
      </c>
      <c r="F25" s="19" t="s">
        <v>2180</v>
      </c>
      <c r="G25" s="19" t="s">
        <v>463</v>
      </c>
    </row>
    <row r="26" customFormat="false" ht="15" hidden="false" customHeight="false" outlineLevel="0" collapsed="false">
      <c r="A26" s="21" t="s">
        <v>783</v>
      </c>
      <c r="B26" s="19" t="s">
        <v>2214</v>
      </c>
      <c r="C26" s="19" t="s">
        <v>2215</v>
      </c>
      <c r="D26" s="19" t="s">
        <v>2222</v>
      </c>
      <c r="E26" s="19" t="s">
        <v>2223</v>
      </c>
      <c r="F26" s="19" t="s">
        <v>2180</v>
      </c>
      <c r="G26" s="19" t="s">
        <v>463</v>
      </c>
    </row>
    <row r="27" customFormat="false" ht="15" hidden="false" customHeight="false" outlineLevel="0" collapsed="false">
      <c r="A27" s="21" t="s">
        <v>783</v>
      </c>
      <c r="B27" s="19" t="s">
        <v>2214</v>
      </c>
      <c r="C27" s="19" t="s">
        <v>2215</v>
      </c>
      <c r="D27" s="19" t="s">
        <v>2224</v>
      </c>
      <c r="E27" s="19" t="s">
        <v>2225</v>
      </c>
      <c r="F27" s="19" t="s">
        <v>2180</v>
      </c>
      <c r="G27" s="19" t="s">
        <v>1034</v>
      </c>
    </row>
    <row r="28" customFormat="false" ht="23.85" hidden="false" customHeight="false" outlineLevel="0" collapsed="false">
      <c r="A28" s="21" t="s">
        <v>783</v>
      </c>
      <c r="B28" s="19" t="s">
        <v>2214</v>
      </c>
      <c r="C28" s="19" t="s">
        <v>2215</v>
      </c>
      <c r="D28" s="19" t="s">
        <v>2226</v>
      </c>
      <c r="E28" s="19" t="s">
        <v>2227</v>
      </c>
      <c r="F28" s="19" t="s">
        <v>2180</v>
      </c>
      <c r="G28" s="19" t="s">
        <v>2228</v>
      </c>
    </row>
    <row r="29" customFormat="false" ht="15" hidden="false" customHeight="false" outlineLevel="0" collapsed="false">
      <c r="A29" s="21" t="s">
        <v>783</v>
      </c>
      <c r="B29" s="19" t="s">
        <v>2214</v>
      </c>
      <c r="C29" s="19" t="s">
        <v>2215</v>
      </c>
      <c r="D29" s="19" t="s">
        <v>2229</v>
      </c>
      <c r="E29" s="19" t="s">
        <v>2230</v>
      </c>
      <c r="F29" s="19" t="s">
        <v>2180</v>
      </c>
      <c r="G29" s="19" t="s">
        <v>463</v>
      </c>
    </row>
    <row r="30" customFormat="false" ht="15" hidden="false" customHeight="false" outlineLevel="0" collapsed="false">
      <c r="A30" s="22" t="s">
        <v>791</v>
      </c>
      <c r="B30" s="19" t="s">
        <v>2231</v>
      </c>
      <c r="C30" s="19" t="s">
        <v>2232</v>
      </c>
      <c r="D30" s="19" t="s">
        <v>2233</v>
      </c>
      <c r="E30" s="19" t="s">
        <v>2234</v>
      </c>
      <c r="F30" s="19" t="s">
        <v>2161</v>
      </c>
      <c r="G30" s="19" t="s">
        <v>2235</v>
      </c>
    </row>
    <row r="31" customFormat="false" ht="15" hidden="false" customHeight="false" outlineLevel="0" collapsed="false">
      <c r="A31" s="22" t="s">
        <v>791</v>
      </c>
      <c r="B31" s="19" t="s">
        <v>2231</v>
      </c>
      <c r="C31" s="19" t="s">
        <v>2232</v>
      </c>
      <c r="D31" s="19" t="s">
        <v>2236</v>
      </c>
      <c r="E31" s="19" t="s">
        <v>2237</v>
      </c>
      <c r="F31" s="19" t="s">
        <v>2161</v>
      </c>
      <c r="G31" s="19" t="s">
        <v>1034</v>
      </c>
    </row>
    <row r="32" customFormat="false" ht="23.85" hidden="false" customHeight="false" outlineLevel="0" collapsed="false">
      <c r="A32" s="22" t="s">
        <v>791</v>
      </c>
      <c r="B32" s="19" t="s">
        <v>2231</v>
      </c>
      <c r="C32" s="19" t="s">
        <v>2232</v>
      </c>
      <c r="D32" s="19" t="s">
        <v>2238</v>
      </c>
      <c r="E32" s="19" t="s">
        <v>2239</v>
      </c>
      <c r="F32" s="19" t="s">
        <v>2161</v>
      </c>
      <c r="G32" s="19" t="s">
        <v>1034</v>
      </c>
    </row>
    <row r="33" customFormat="false" ht="15" hidden="false" customHeight="false" outlineLevel="0" collapsed="false">
      <c r="A33" s="22" t="s">
        <v>791</v>
      </c>
      <c r="B33" s="19" t="s">
        <v>2231</v>
      </c>
      <c r="C33" s="19" t="s">
        <v>2232</v>
      </c>
      <c r="D33" s="19" t="s">
        <v>2240</v>
      </c>
      <c r="E33" s="19" t="s">
        <v>2241</v>
      </c>
      <c r="F33" s="19" t="s">
        <v>2161</v>
      </c>
      <c r="G33" s="19" t="s">
        <v>1034</v>
      </c>
    </row>
    <row r="34" customFormat="false" ht="15" hidden="false" customHeight="false" outlineLevel="0" collapsed="false">
      <c r="A34" s="16" t="s">
        <v>2242</v>
      </c>
      <c r="D34" s="16" t="s">
        <v>2243</v>
      </c>
      <c r="F34" s="34" t="n">
        <f aca="false">0.1+0.15+0.25+0.25+0.15+0.1</f>
        <v>1</v>
      </c>
    </row>
  </sheetData>
  <autoFilter ref="A1:G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2026-09-04T09:34:50Z</dcterms:created>
  <dc:creator>openpyxl</dc:creator>
  <dc:description/>
  <dc:language>en-US</dc:language>
  <cp:lastModifiedBy/>
  <dcterms:modified xsi:type="dcterms:W3CDTF">2026-09-04T09:34:50Z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